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AC3" i="1" l="1"/>
  <c r="W4" i="1" l="1"/>
  <c r="W5" i="1"/>
  <c r="W3" i="1"/>
  <c r="M5" i="1" l="1"/>
  <c r="M6" i="1"/>
  <c r="M7" i="1"/>
  <c r="M8" i="1"/>
  <c r="M9" i="1"/>
  <c r="M10" i="1"/>
  <c r="M11" i="1"/>
  <c r="M12" i="1"/>
  <c r="M13" i="1"/>
  <c r="M14" i="1"/>
  <c r="M15" i="1"/>
  <c r="M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4" i="1"/>
</calcChain>
</file>

<file path=xl/sharedStrings.xml><?xml version="1.0" encoding="utf-8"?>
<sst xmlns="http://schemas.openxmlformats.org/spreadsheetml/2006/main" count="38" uniqueCount="21">
  <si>
    <t>третиий пунк выполнения</t>
  </si>
  <si>
    <t>Vзад = 4В</t>
  </si>
  <si>
    <t>№</t>
  </si>
  <si>
    <t>Ik, дел.</t>
  </si>
  <si>
    <t>Ik, мА</t>
  </si>
  <si>
    <t>Vзад = 6В</t>
  </si>
  <si>
    <t>Va, В</t>
  </si>
  <si>
    <t>С of Ia, mA</t>
  </si>
  <si>
    <t>Vзад = 8В</t>
  </si>
  <si>
    <t>Задерж. нап., В</t>
  </si>
  <si>
    <t>Y, мВ/дел.</t>
  </si>
  <si>
    <t>X, В/дел.</t>
  </si>
  <si>
    <t>25/11</t>
  </si>
  <si>
    <t>Задерж нап.</t>
  </si>
  <si>
    <t>4В</t>
  </si>
  <si>
    <t>6В</t>
  </si>
  <si>
    <t>8В</t>
  </si>
  <si>
    <t>dV, дел</t>
  </si>
  <si>
    <t>dV, В</t>
  </si>
  <si>
    <t>A, эВ</t>
  </si>
  <si>
    <t xml:space="preserve">Vзад., 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</si>
</sst>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Vзад = 4В</c:v>
          </c:tx>
          <c:marker>
            <c:symbol val="diamond"/>
            <c:size val="5"/>
            <c:spPr>
              <a:solidFill>
                <a:schemeClr val="tx1"/>
              </a:solidFill>
            </c:spPr>
          </c:marker>
          <c:xVal>
            <c:numRef>
              <c:f>Лист1!$D$4:$D$19</c:f>
              <c:numCache>
                <c:formatCode>General</c:formatCode>
                <c:ptCount val="16"/>
                <c:pt idx="0">
                  <c:v>4.2300000000000004</c:v>
                </c:pt>
                <c:pt idx="1">
                  <c:v>7.51</c:v>
                </c:pt>
                <c:pt idx="2">
                  <c:v>10.81</c:v>
                </c:pt>
                <c:pt idx="3">
                  <c:v>14.5</c:v>
                </c:pt>
                <c:pt idx="4">
                  <c:v>18.3</c:v>
                </c:pt>
                <c:pt idx="5">
                  <c:v>23</c:v>
                </c:pt>
                <c:pt idx="6">
                  <c:v>23.37</c:v>
                </c:pt>
                <c:pt idx="7">
                  <c:v>24.65</c:v>
                </c:pt>
                <c:pt idx="8">
                  <c:v>28.41</c:v>
                </c:pt>
                <c:pt idx="9">
                  <c:v>31.43</c:v>
                </c:pt>
                <c:pt idx="10">
                  <c:v>34.47</c:v>
                </c:pt>
                <c:pt idx="11">
                  <c:v>38.200000000000003</c:v>
                </c:pt>
                <c:pt idx="12">
                  <c:v>40.130000000000003</c:v>
                </c:pt>
                <c:pt idx="13">
                  <c:v>43.13</c:v>
                </c:pt>
                <c:pt idx="14">
                  <c:v>50.55</c:v>
                </c:pt>
                <c:pt idx="15">
                  <c:v>57.07</c:v>
                </c:pt>
              </c:numCache>
            </c:numRef>
          </c:xVal>
          <c:yVal>
            <c:numRef>
              <c:f>Лист1!$C$4:$C$19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265</c:v>
                </c:pt>
                <c:pt idx="6">
                  <c:v>265</c:v>
                </c:pt>
                <c:pt idx="7">
                  <c:v>225</c:v>
                </c:pt>
                <c:pt idx="8">
                  <c:v>275</c:v>
                </c:pt>
                <c:pt idx="9">
                  <c:v>325</c:v>
                </c:pt>
                <c:pt idx="10">
                  <c:v>375</c:v>
                </c:pt>
                <c:pt idx="11">
                  <c:v>400</c:v>
                </c:pt>
                <c:pt idx="12">
                  <c:v>390</c:v>
                </c:pt>
                <c:pt idx="13">
                  <c:v>375</c:v>
                </c:pt>
                <c:pt idx="14">
                  <c:v>400</c:v>
                </c:pt>
                <c:pt idx="15">
                  <c:v>450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66656"/>
        <c:axId val="109249280"/>
      </c:scatterChart>
      <c:scatterChart>
        <c:scatterStyle val="smoothMarker"/>
        <c:varyColors val="0"/>
        <c:ser>
          <c:idx val="1"/>
          <c:order val="1"/>
          <c:tx>
            <c:v>Vзад = 6В</c:v>
          </c:tx>
          <c:marker>
            <c:symbol val="square"/>
            <c:size val="4"/>
            <c:spPr>
              <a:solidFill>
                <a:schemeClr val="tx1"/>
              </a:solidFill>
            </c:spPr>
          </c:marker>
          <c:xVal>
            <c:numRef>
              <c:f>Лист1!$I$4:$I$17</c:f>
              <c:numCache>
                <c:formatCode>General</c:formatCode>
                <c:ptCount val="14"/>
                <c:pt idx="0">
                  <c:v>0.03</c:v>
                </c:pt>
                <c:pt idx="1">
                  <c:v>8.08</c:v>
                </c:pt>
                <c:pt idx="2">
                  <c:v>12.81</c:v>
                </c:pt>
                <c:pt idx="3">
                  <c:v>17.95</c:v>
                </c:pt>
                <c:pt idx="4">
                  <c:v>21.04</c:v>
                </c:pt>
                <c:pt idx="5">
                  <c:v>22.88</c:v>
                </c:pt>
                <c:pt idx="6">
                  <c:v>25.2</c:v>
                </c:pt>
                <c:pt idx="7">
                  <c:v>27.75</c:v>
                </c:pt>
                <c:pt idx="8">
                  <c:v>31.4</c:v>
                </c:pt>
                <c:pt idx="9">
                  <c:v>36.61</c:v>
                </c:pt>
                <c:pt idx="10">
                  <c:v>38.26</c:v>
                </c:pt>
                <c:pt idx="11">
                  <c:v>39.229999999999997</c:v>
                </c:pt>
                <c:pt idx="12">
                  <c:v>46.81</c:v>
                </c:pt>
                <c:pt idx="13">
                  <c:v>56.76</c:v>
                </c:pt>
              </c:numCache>
            </c:numRef>
          </c:xVal>
          <c:yVal>
            <c:numRef>
              <c:f>Лист1!$H$4:$H$17</c:f>
              <c:numCache>
                <c:formatCode>General</c:formatCode>
                <c:ptCount val="14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350</c:v>
                </c:pt>
                <c:pt idx="5">
                  <c:v>355</c:v>
                </c:pt>
                <c:pt idx="6">
                  <c:v>215</c:v>
                </c:pt>
                <c:pt idx="7">
                  <c:v>250</c:v>
                </c:pt>
                <c:pt idx="8">
                  <c:v>350</c:v>
                </c:pt>
                <c:pt idx="9">
                  <c:v>450</c:v>
                </c:pt>
                <c:pt idx="10">
                  <c:v>455</c:v>
                </c:pt>
                <c:pt idx="11">
                  <c:v>450</c:v>
                </c:pt>
                <c:pt idx="12">
                  <c:v>385</c:v>
                </c:pt>
                <c:pt idx="13">
                  <c:v>450</c:v>
                </c:pt>
              </c:numCache>
            </c:numRef>
          </c:yVal>
          <c:smooth val="1"/>
        </c:ser>
        <c:ser>
          <c:idx val="2"/>
          <c:order val="2"/>
          <c:tx>
            <c:v>Vзад = 8В</c:v>
          </c:tx>
          <c:marker>
            <c:symbol val="triangle"/>
            <c:size val="5"/>
            <c:spPr>
              <a:solidFill>
                <a:schemeClr val="tx1"/>
              </a:solidFill>
            </c:spPr>
          </c:marker>
          <c:xVal>
            <c:numRef>
              <c:f>Лист1!$N$4:$N$15</c:f>
              <c:numCache>
                <c:formatCode>General</c:formatCode>
                <c:ptCount val="12"/>
                <c:pt idx="0">
                  <c:v>0.03</c:v>
                </c:pt>
                <c:pt idx="1">
                  <c:v>12.87</c:v>
                </c:pt>
                <c:pt idx="2">
                  <c:v>19.64</c:v>
                </c:pt>
                <c:pt idx="3">
                  <c:v>22.78</c:v>
                </c:pt>
                <c:pt idx="4">
                  <c:v>24.82</c:v>
                </c:pt>
                <c:pt idx="5">
                  <c:v>26.73</c:v>
                </c:pt>
                <c:pt idx="6">
                  <c:v>30.28</c:v>
                </c:pt>
                <c:pt idx="7">
                  <c:v>32.75</c:v>
                </c:pt>
                <c:pt idx="8">
                  <c:v>38.549999999999997</c:v>
                </c:pt>
                <c:pt idx="9">
                  <c:v>44.04</c:v>
                </c:pt>
                <c:pt idx="10">
                  <c:v>50.68</c:v>
                </c:pt>
                <c:pt idx="11">
                  <c:v>70.37</c:v>
                </c:pt>
              </c:numCache>
            </c:numRef>
          </c:xVal>
          <c:yVal>
            <c:numRef>
              <c:f>Лист1!$M$4:$M$15</c:f>
              <c:numCache>
                <c:formatCode>General</c:formatCode>
                <c:ptCount val="12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475</c:v>
                </c:pt>
                <c:pt idx="4">
                  <c:v>500</c:v>
                </c:pt>
                <c:pt idx="5">
                  <c:v>195</c:v>
                </c:pt>
                <c:pt idx="6">
                  <c:v>300</c:v>
                </c:pt>
                <c:pt idx="7">
                  <c:v>400</c:v>
                </c:pt>
                <c:pt idx="8">
                  <c:v>525</c:v>
                </c:pt>
                <c:pt idx="9">
                  <c:v>450</c:v>
                </c:pt>
                <c:pt idx="10">
                  <c:v>385</c:v>
                </c:pt>
                <c:pt idx="11">
                  <c:v>445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66656"/>
        <c:axId val="109249280"/>
      </c:scatterChart>
      <c:valAx>
        <c:axId val="1093666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Va,</a:t>
                </a:r>
                <a:r>
                  <a:rPr lang="en-US" baseline="0"/>
                  <a:t> </a:t>
                </a:r>
                <a:r>
                  <a:rPr lang="ru-RU" baseline="0"/>
                  <a:t>В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9249280"/>
        <c:crosses val="autoZero"/>
        <c:crossBetween val="midCat"/>
        <c:majorUnit val="5"/>
        <c:minorUnit val="1"/>
      </c:valAx>
      <c:valAx>
        <c:axId val="109249280"/>
        <c:scaling>
          <c:orientation val="minMax"/>
          <c:max val="55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 = f(Va),</a:t>
                </a:r>
                <a:r>
                  <a:rPr lang="ru-RU" baseline="0"/>
                  <a:t> мА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9366656"/>
        <c:crosses val="autoZero"/>
        <c:crossBetween val="midCat"/>
        <c:majorUnit val="50"/>
        <c:min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367105</xdr:colOff>
      <xdr:row>6</xdr:row>
      <xdr:rowOff>137159</xdr:rowOff>
    </xdr:from>
    <xdr:to>
      <xdr:col>30</xdr:col>
      <xdr:colOff>478716</xdr:colOff>
      <xdr:row>35</xdr:row>
      <xdr:rowOff>114299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"/>
  <sheetViews>
    <sheetView tabSelected="1" topLeftCell="N1" zoomScale="85" zoomScaleNormal="85" workbookViewId="0">
      <selection activeCell="Q28" sqref="Q28"/>
    </sheetView>
  </sheetViews>
  <sheetFormatPr defaultRowHeight="14.4" x14ac:dyDescent="0.3"/>
  <cols>
    <col min="1" max="1" width="9.77734375" customWidth="1"/>
    <col min="17" max="17" width="18.5546875" customWidth="1"/>
    <col min="18" max="18" width="12.33203125" customWidth="1"/>
    <col min="19" max="19" width="13.21875" customWidth="1"/>
    <col min="21" max="21" width="13.21875" customWidth="1"/>
    <col min="22" max="22" width="15.6640625" customWidth="1"/>
    <col min="23" max="23" width="15.44140625" customWidth="1"/>
  </cols>
  <sheetData>
    <row r="1" spans="1:31" x14ac:dyDescent="0.3">
      <c r="A1" s="12" t="s">
        <v>0</v>
      </c>
      <c r="B1" s="12"/>
      <c r="C1" s="12"/>
      <c r="D1" s="1"/>
    </row>
    <row r="2" spans="1:31" x14ac:dyDescent="0.3">
      <c r="A2" s="9" t="s">
        <v>1</v>
      </c>
      <c r="B2" s="10"/>
      <c r="C2" s="10"/>
      <c r="D2" s="11"/>
      <c r="F2" s="9" t="s">
        <v>5</v>
      </c>
      <c r="G2" s="10"/>
      <c r="H2" s="10"/>
      <c r="I2" s="11"/>
      <c r="K2" s="9" t="s">
        <v>8</v>
      </c>
      <c r="L2" s="10"/>
      <c r="M2" s="10"/>
      <c r="N2" s="11"/>
      <c r="Q2" s="3" t="s">
        <v>9</v>
      </c>
      <c r="R2" s="3" t="s">
        <v>10</v>
      </c>
      <c r="S2" s="3" t="s">
        <v>11</v>
      </c>
      <c r="U2" s="3" t="s">
        <v>13</v>
      </c>
      <c r="V2" s="3" t="s">
        <v>17</v>
      </c>
      <c r="W2" s="3" t="s">
        <v>18</v>
      </c>
      <c r="AB2" s="3" t="s">
        <v>20</v>
      </c>
      <c r="AC2" s="3">
        <v>4</v>
      </c>
      <c r="AD2" s="3">
        <v>6</v>
      </c>
      <c r="AE2" s="3">
        <v>8</v>
      </c>
    </row>
    <row r="3" spans="1:31" x14ac:dyDescent="0.3">
      <c r="A3" s="8" t="s">
        <v>2</v>
      </c>
      <c r="B3" s="4" t="s">
        <v>3</v>
      </c>
      <c r="C3" s="4" t="s">
        <v>4</v>
      </c>
      <c r="D3" s="4" t="s">
        <v>6</v>
      </c>
      <c r="F3" s="8" t="s">
        <v>2</v>
      </c>
      <c r="G3" s="8" t="s">
        <v>3</v>
      </c>
      <c r="H3" s="8" t="s">
        <v>4</v>
      </c>
      <c r="I3" s="8" t="s">
        <v>6</v>
      </c>
      <c r="K3" s="8" t="s">
        <v>2</v>
      </c>
      <c r="L3" s="8" t="s">
        <v>3</v>
      </c>
      <c r="M3" s="8" t="s">
        <v>4</v>
      </c>
      <c r="N3" s="8" t="s">
        <v>6</v>
      </c>
      <c r="Q3" s="4">
        <v>1</v>
      </c>
      <c r="R3" s="4">
        <v>50</v>
      </c>
      <c r="S3" s="5" t="s">
        <v>12</v>
      </c>
      <c r="U3" s="6" t="s">
        <v>14</v>
      </c>
      <c r="V3" s="6">
        <v>6</v>
      </c>
      <c r="W3" s="3">
        <f>V3*25/11</f>
        <v>13.636363636363637</v>
      </c>
      <c r="AB3" s="3" t="s">
        <v>19</v>
      </c>
      <c r="AC3" s="13">
        <f>38.22 - 22.88</f>
        <v>15.34</v>
      </c>
      <c r="AD3" s="3">
        <v>16.2</v>
      </c>
      <c r="AE3" s="3">
        <v>14.8</v>
      </c>
    </row>
    <row r="4" spans="1:31" x14ac:dyDescent="0.3">
      <c r="A4" s="4">
        <v>1</v>
      </c>
      <c r="B4" s="4">
        <v>10</v>
      </c>
      <c r="C4" s="3">
        <f>B4*$A$22</f>
        <v>50</v>
      </c>
      <c r="D4" s="3">
        <v>4.2300000000000004</v>
      </c>
      <c r="F4" s="8">
        <v>1</v>
      </c>
      <c r="G4" s="8">
        <v>0</v>
      </c>
      <c r="H4" s="3">
        <f t="shared" ref="H4:H17" si="0">G4*$A$22</f>
        <v>0</v>
      </c>
      <c r="I4" s="3">
        <v>0.03</v>
      </c>
      <c r="K4" s="4">
        <v>1</v>
      </c>
      <c r="L4" s="3">
        <v>0</v>
      </c>
      <c r="M4" s="3">
        <f>L4*$A$22</f>
        <v>0</v>
      </c>
      <c r="N4" s="3">
        <v>0.03</v>
      </c>
      <c r="Q4" s="4">
        <v>2</v>
      </c>
      <c r="R4" s="4">
        <v>50</v>
      </c>
      <c r="S4" s="5" t="s">
        <v>12</v>
      </c>
      <c r="U4" s="6" t="s">
        <v>15</v>
      </c>
      <c r="V4" s="6">
        <v>6</v>
      </c>
      <c r="W4" s="3">
        <f t="shared" ref="W4:W5" si="1">V4*25/11</f>
        <v>13.636363636363637</v>
      </c>
    </row>
    <row r="5" spans="1:31" x14ac:dyDescent="0.3">
      <c r="A5" s="4">
        <v>2</v>
      </c>
      <c r="B5" s="4">
        <v>20</v>
      </c>
      <c r="C5" s="3">
        <f t="shared" ref="C5:C19" si="2">B5*$A$22</f>
        <v>100</v>
      </c>
      <c r="D5" s="3">
        <v>7.51</v>
      </c>
      <c r="F5" s="8">
        <v>2</v>
      </c>
      <c r="G5" s="8">
        <v>20</v>
      </c>
      <c r="H5" s="3">
        <f t="shared" si="0"/>
        <v>100</v>
      </c>
      <c r="I5" s="3">
        <v>8.08</v>
      </c>
      <c r="K5" s="4">
        <v>2</v>
      </c>
      <c r="L5" s="3">
        <v>40</v>
      </c>
      <c r="M5" s="3">
        <f t="shared" ref="M5:M15" si="3">L5*$A$22</f>
        <v>200</v>
      </c>
      <c r="N5" s="3">
        <v>12.87</v>
      </c>
      <c r="Q5" s="4">
        <v>3</v>
      </c>
      <c r="R5" s="4">
        <v>20</v>
      </c>
      <c r="S5" s="5" t="s">
        <v>12</v>
      </c>
      <c r="U5" s="6" t="s">
        <v>16</v>
      </c>
      <c r="V5" s="6">
        <v>6</v>
      </c>
      <c r="W5" s="3">
        <f t="shared" si="1"/>
        <v>13.636363636363637</v>
      </c>
    </row>
    <row r="6" spans="1:31" x14ac:dyDescent="0.3">
      <c r="A6" s="4">
        <v>3</v>
      </c>
      <c r="B6" s="4">
        <v>30</v>
      </c>
      <c r="C6" s="3">
        <f t="shared" si="2"/>
        <v>150</v>
      </c>
      <c r="D6" s="3">
        <v>10.81</v>
      </c>
      <c r="F6" s="8">
        <v>3</v>
      </c>
      <c r="G6" s="8">
        <v>40</v>
      </c>
      <c r="H6" s="3">
        <f t="shared" si="0"/>
        <v>200</v>
      </c>
      <c r="I6" s="3">
        <v>12.81</v>
      </c>
      <c r="K6" s="4">
        <v>3</v>
      </c>
      <c r="L6" s="3">
        <v>80</v>
      </c>
      <c r="M6" s="3">
        <f t="shared" si="3"/>
        <v>400</v>
      </c>
      <c r="N6" s="3">
        <v>19.64</v>
      </c>
      <c r="Q6" s="4">
        <v>4</v>
      </c>
      <c r="R6" s="4">
        <v>20</v>
      </c>
      <c r="S6" s="5" t="s">
        <v>12</v>
      </c>
    </row>
    <row r="7" spans="1:31" x14ac:dyDescent="0.3">
      <c r="A7" s="4">
        <v>4</v>
      </c>
      <c r="B7" s="4">
        <v>40</v>
      </c>
      <c r="C7" s="3">
        <f t="shared" si="2"/>
        <v>200</v>
      </c>
      <c r="D7" s="3">
        <v>14.5</v>
      </c>
      <c r="F7" s="8">
        <v>4</v>
      </c>
      <c r="G7" s="8">
        <v>60</v>
      </c>
      <c r="H7" s="3">
        <f t="shared" si="0"/>
        <v>300</v>
      </c>
      <c r="I7" s="3">
        <v>17.95</v>
      </c>
      <c r="K7" s="4">
        <v>4</v>
      </c>
      <c r="L7" s="3">
        <v>95</v>
      </c>
      <c r="M7" s="3">
        <f t="shared" si="3"/>
        <v>475</v>
      </c>
      <c r="N7" s="3">
        <v>22.78</v>
      </c>
      <c r="Q7" s="4">
        <v>5</v>
      </c>
      <c r="R7" s="4">
        <v>20</v>
      </c>
      <c r="S7" s="5" t="s">
        <v>12</v>
      </c>
    </row>
    <row r="8" spans="1:31" x14ac:dyDescent="0.3">
      <c r="A8" s="4">
        <v>5</v>
      </c>
      <c r="B8" s="4">
        <v>50</v>
      </c>
      <c r="C8" s="3">
        <f t="shared" si="2"/>
        <v>250</v>
      </c>
      <c r="D8" s="3">
        <v>18.3</v>
      </c>
      <c r="F8" s="8">
        <v>5</v>
      </c>
      <c r="G8" s="8">
        <v>70</v>
      </c>
      <c r="H8" s="3">
        <f t="shared" si="0"/>
        <v>350</v>
      </c>
      <c r="I8" s="3">
        <v>21.04</v>
      </c>
      <c r="K8" s="4">
        <v>5</v>
      </c>
      <c r="L8" s="3">
        <v>100</v>
      </c>
      <c r="M8" s="3">
        <f t="shared" si="3"/>
        <v>500</v>
      </c>
      <c r="N8" s="3">
        <v>24.82</v>
      </c>
      <c r="Q8" s="4">
        <v>6</v>
      </c>
      <c r="R8" s="4">
        <v>20</v>
      </c>
      <c r="S8" s="5" t="s">
        <v>12</v>
      </c>
    </row>
    <row r="9" spans="1:31" x14ac:dyDescent="0.3">
      <c r="A9" s="4">
        <v>6</v>
      </c>
      <c r="B9" s="4">
        <v>53</v>
      </c>
      <c r="C9" s="3">
        <f t="shared" si="2"/>
        <v>265</v>
      </c>
      <c r="D9" s="3">
        <v>23</v>
      </c>
      <c r="F9" s="8">
        <v>6</v>
      </c>
      <c r="G9" s="8">
        <v>71</v>
      </c>
      <c r="H9" s="3">
        <f t="shared" si="0"/>
        <v>355</v>
      </c>
      <c r="I9" s="3">
        <v>22.88</v>
      </c>
      <c r="K9" s="4">
        <v>6</v>
      </c>
      <c r="L9" s="3">
        <v>39</v>
      </c>
      <c r="M9" s="3">
        <f t="shared" si="3"/>
        <v>195</v>
      </c>
      <c r="N9" s="3">
        <v>26.73</v>
      </c>
      <c r="Q9" s="4">
        <v>7</v>
      </c>
      <c r="R9" s="4">
        <v>10</v>
      </c>
      <c r="S9" s="5" t="s">
        <v>12</v>
      </c>
    </row>
    <row r="10" spans="1:31" x14ac:dyDescent="0.3">
      <c r="A10" s="4">
        <v>7</v>
      </c>
      <c r="B10" s="4">
        <v>53</v>
      </c>
      <c r="C10" s="3">
        <f t="shared" si="2"/>
        <v>265</v>
      </c>
      <c r="D10" s="3">
        <v>23.37</v>
      </c>
      <c r="F10" s="8">
        <v>7</v>
      </c>
      <c r="G10" s="8">
        <v>43</v>
      </c>
      <c r="H10" s="3">
        <f t="shared" si="0"/>
        <v>215</v>
      </c>
      <c r="I10" s="3">
        <v>25.2</v>
      </c>
      <c r="K10" s="4">
        <v>7</v>
      </c>
      <c r="L10" s="3">
        <v>60</v>
      </c>
      <c r="M10" s="3">
        <f t="shared" si="3"/>
        <v>300</v>
      </c>
      <c r="N10" s="3">
        <v>30.28</v>
      </c>
      <c r="Q10" s="4">
        <v>8</v>
      </c>
      <c r="R10" s="4">
        <v>10</v>
      </c>
      <c r="S10" s="5" t="s">
        <v>12</v>
      </c>
    </row>
    <row r="11" spans="1:31" x14ac:dyDescent="0.3">
      <c r="A11" s="4">
        <v>8</v>
      </c>
      <c r="B11" s="4">
        <v>45</v>
      </c>
      <c r="C11" s="3">
        <f t="shared" si="2"/>
        <v>225</v>
      </c>
      <c r="D11" s="3">
        <v>24.65</v>
      </c>
      <c r="F11" s="8">
        <v>8</v>
      </c>
      <c r="G11" s="8">
        <v>50</v>
      </c>
      <c r="H11" s="3">
        <f t="shared" si="0"/>
        <v>250</v>
      </c>
      <c r="I11" s="3">
        <v>27.75</v>
      </c>
      <c r="K11" s="4">
        <v>8</v>
      </c>
      <c r="L11" s="3">
        <v>80</v>
      </c>
      <c r="M11" s="3">
        <f t="shared" si="3"/>
        <v>400</v>
      </c>
      <c r="N11" s="3">
        <v>32.75</v>
      </c>
      <c r="Q11" s="4">
        <v>9</v>
      </c>
      <c r="R11" s="4">
        <v>10</v>
      </c>
      <c r="S11" s="5" t="s">
        <v>12</v>
      </c>
    </row>
    <row r="12" spans="1:31" x14ac:dyDescent="0.3">
      <c r="A12" s="4">
        <v>9</v>
      </c>
      <c r="B12" s="4">
        <v>55</v>
      </c>
      <c r="C12" s="3">
        <f t="shared" si="2"/>
        <v>275</v>
      </c>
      <c r="D12" s="3">
        <v>28.41</v>
      </c>
      <c r="F12" s="8">
        <v>9</v>
      </c>
      <c r="G12" s="8">
        <v>70</v>
      </c>
      <c r="H12" s="3">
        <f t="shared" si="0"/>
        <v>350</v>
      </c>
      <c r="I12" s="3">
        <v>31.4</v>
      </c>
      <c r="K12" s="4">
        <v>9</v>
      </c>
      <c r="L12" s="3">
        <v>105</v>
      </c>
      <c r="M12" s="3">
        <f t="shared" si="3"/>
        <v>525</v>
      </c>
      <c r="N12" s="3">
        <v>38.549999999999997</v>
      </c>
      <c r="Q12" s="4">
        <v>10</v>
      </c>
      <c r="R12" s="4">
        <v>10</v>
      </c>
      <c r="S12" s="5" t="s">
        <v>12</v>
      </c>
    </row>
    <row r="13" spans="1:31" x14ac:dyDescent="0.3">
      <c r="A13" s="4">
        <v>10</v>
      </c>
      <c r="B13" s="4">
        <v>65</v>
      </c>
      <c r="C13" s="3">
        <f t="shared" si="2"/>
        <v>325</v>
      </c>
      <c r="D13" s="3">
        <v>31.43</v>
      </c>
      <c r="F13" s="8">
        <v>10</v>
      </c>
      <c r="G13" s="8">
        <v>90</v>
      </c>
      <c r="H13" s="3">
        <f t="shared" si="0"/>
        <v>450</v>
      </c>
      <c r="I13" s="3">
        <v>36.61</v>
      </c>
      <c r="K13" s="4">
        <v>10</v>
      </c>
      <c r="L13" s="3">
        <v>90</v>
      </c>
      <c r="M13" s="3">
        <f t="shared" si="3"/>
        <v>450</v>
      </c>
      <c r="N13" s="3">
        <v>44.04</v>
      </c>
    </row>
    <row r="14" spans="1:31" x14ac:dyDescent="0.3">
      <c r="A14" s="4">
        <v>11</v>
      </c>
      <c r="B14" s="4">
        <v>75</v>
      </c>
      <c r="C14" s="3">
        <f t="shared" si="2"/>
        <v>375</v>
      </c>
      <c r="D14" s="3">
        <v>34.47</v>
      </c>
      <c r="F14" s="8">
        <v>11</v>
      </c>
      <c r="G14" s="8">
        <v>91</v>
      </c>
      <c r="H14" s="3">
        <f t="shared" si="0"/>
        <v>455</v>
      </c>
      <c r="I14" s="3">
        <v>38.26</v>
      </c>
      <c r="K14" s="4">
        <v>11</v>
      </c>
      <c r="L14" s="3">
        <v>77</v>
      </c>
      <c r="M14" s="3">
        <f t="shared" si="3"/>
        <v>385</v>
      </c>
      <c r="N14" s="3">
        <v>50.68</v>
      </c>
    </row>
    <row r="15" spans="1:31" x14ac:dyDescent="0.3">
      <c r="A15" s="4">
        <v>12</v>
      </c>
      <c r="B15" s="4">
        <v>80</v>
      </c>
      <c r="C15" s="3">
        <f t="shared" si="2"/>
        <v>400</v>
      </c>
      <c r="D15" s="3">
        <v>38.200000000000003</v>
      </c>
      <c r="F15" s="8">
        <v>12</v>
      </c>
      <c r="G15" s="8">
        <v>90</v>
      </c>
      <c r="H15" s="3">
        <f t="shared" si="0"/>
        <v>450</v>
      </c>
      <c r="I15" s="3">
        <v>39.229999999999997</v>
      </c>
      <c r="K15" s="4">
        <v>12</v>
      </c>
      <c r="L15" s="3">
        <v>89</v>
      </c>
      <c r="M15" s="3">
        <f t="shared" si="3"/>
        <v>445</v>
      </c>
      <c r="N15" s="3">
        <v>70.37</v>
      </c>
    </row>
    <row r="16" spans="1:31" x14ac:dyDescent="0.3">
      <c r="A16" s="4">
        <v>13</v>
      </c>
      <c r="B16" s="4">
        <v>78</v>
      </c>
      <c r="C16" s="3">
        <f t="shared" si="2"/>
        <v>390</v>
      </c>
      <c r="D16" s="3">
        <v>40.130000000000003</v>
      </c>
      <c r="F16" s="8">
        <v>13</v>
      </c>
      <c r="G16" s="8">
        <v>77</v>
      </c>
      <c r="H16" s="3">
        <f t="shared" si="0"/>
        <v>385</v>
      </c>
      <c r="I16" s="3">
        <v>46.81</v>
      </c>
    </row>
    <row r="17" spans="1:9" x14ac:dyDescent="0.3">
      <c r="A17" s="4">
        <v>14</v>
      </c>
      <c r="B17" s="4">
        <v>75</v>
      </c>
      <c r="C17" s="3">
        <f t="shared" si="2"/>
        <v>375</v>
      </c>
      <c r="D17" s="3">
        <v>43.13</v>
      </c>
      <c r="F17" s="8">
        <v>14</v>
      </c>
      <c r="G17" s="8">
        <v>90</v>
      </c>
      <c r="H17" s="3">
        <f t="shared" si="0"/>
        <v>450</v>
      </c>
      <c r="I17" s="3">
        <v>56.76</v>
      </c>
    </row>
    <row r="18" spans="1:9" x14ac:dyDescent="0.3">
      <c r="A18" s="4">
        <v>15</v>
      </c>
      <c r="B18" s="4">
        <v>80</v>
      </c>
      <c r="C18" s="3">
        <f t="shared" si="2"/>
        <v>400</v>
      </c>
      <c r="D18" s="3">
        <v>50.55</v>
      </c>
      <c r="F18" s="1"/>
    </row>
    <row r="19" spans="1:9" x14ac:dyDescent="0.3">
      <c r="A19" s="4">
        <v>16</v>
      </c>
      <c r="B19" s="4">
        <v>90</v>
      </c>
      <c r="C19" s="3">
        <f t="shared" si="2"/>
        <v>450</v>
      </c>
      <c r="D19" s="3">
        <v>57.07</v>
      </c>
      <c r="F19" s="1"/>
    </row>
    <row r="21" spans="1:9" x14ac:dyDescent="0.3">
      <c r="A21" s="7" t="s">
        <v>7</v>
      </c>
      <c r="B21" s="2"/>
      <c r="C21" s="2"/>
    </row>
    <row r="22" spans="1:9" x14ac:dyDescent="0.3">
      <c r="A22" s="3">
        <v>5</v>
      </c>
    </row>
  </sheetData>
  <mergeCells count="4">
    <mergeCell ref="K2:N2"/>
    <mergeCell ref="A1:C1"/>
    <mergeCell ref="A2:D2"/>
    <mergeCell ref="F2:I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2018-09-13T21:26:23Z</dcterms:modified>
</cp:coreProperties>
</file>