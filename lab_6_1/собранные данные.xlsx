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O139" i="1" l="1"/>
  <c r="P139" i="1"/>
  <c r="Q139" i="1"/>
  <c r="R139" i="1"/>
  <c r="O137" i="1"/>
  <c r="P137" i="1"/>
  <c r="Q137" i="1"/>
  <c r="R137" i="1"/>
  <c r="U21" i="1" l="1"/>
  <c r="U22" i="1"/>
  <c r="U23" i="1"/>
  <c r="U24" i="1"/>
  <c r="U25" i="1"/>
  <c r="U26" i="1"/>
  <c r="U27" i="1"/>
  <c r="U28" i="1"/>
  <c r="U29" i="1"/>
  <c r="U30" i="1"/>
  <c r="U31" i="1"/>
  <c r="U32" i="1"/>
  <c r="U34" i="1"/>
  <c r="U35" i="1"/>
  <c r="U36" i="1"/>
  <c r="U37" i="1"/>
  <c r="U38" i="1"/>
  <c r="U39" i="1"/>
  <c r="U40" i="1"/>
  <c r="U41" i="1"/>
  <c r="U42" i="1"/>
  <c r="U43" i="1"/>
  <c r="U44" i="1"/>
  <c r="U45" i="1"/>
  <c r="T34" i="1"/>
  <c r="T35" i="1"/>
  <c r="T36" i="1"/>
  <c r="T37" i="1"/>
  <c r="T38" i="1"/>
  <c r="T39" i="1"/>
  <c r="T40" i="1"/>
  <c r="T41" i="1"/>
  <c r="T42" i="1"/>
  <c r="T43" i="1"/>
  <c r="T44" i="1"/>
  <c r="T45" i="1"/>
  <c r="T21" i="1"/>
  <c r="T22" i="1"/>
  <c r="T23" i="1"/>
  <c r="T24" i="1"/>
  <c r="T25" i="1"/>
  <c r="T26" i="1"/>
  <c r="T27" i="1"/>
  <c r="T28" i="1"/>
  <c r="T29" i="1"/>
  <c r="T30" i="1"/>
  <c r="T31" i="1"/>
  <c r="T32" i="1"/>
  <c r="O33" i="1"/>
  <c r="O34" i="1"/>
  <c r="O35" i="1"/>
  <c r="O36" i="1"/>
  <c r="O37" i="1"/>
  <c r="O38" i="1"/>
  <c r="O39" i="1"/>
  <c r="O40" i="1"/>
  <c r="O41" i="1"/>
  <c r="O42" i="1"/>
  <c r="O43" i="1"/>
  <c r="O32" i="1"/>
  <c r="O21" i="1"/>
  <c r="O22" i="1"/>
  <c r="O23" i="1"/>
  <c r="O24" i="1"/>
  <c r="O25" i="1"/>
  <c r="O26" i="1"/>
  <c r="O27" i="1"/>
  <c r="O28" i="1"/>
  <c r="O29" i="1"/>
  <c r="O30" i="1"/>
  <c r="O31" i="1"/>
  <c r="O20" i="1"/>
  <c r="N33" i="1"/>
  <c r="N34" i="1"/>
  <c r="N35" i="1"/>
  <c r="N36" i="1"/>
  <c r="N37" i="1"/>
  <c r="N38" i="1"/>
  <c r="N39" i="1"/>
  <c r="N40" i="1"/>
  <c r="N41" i="1"/>
  <c r="N42" i="1"/>
  <c r="N43" i="1"/>
  <c r="N32" i="1"/>
  <c r="N21" i="1"/>
  <c r="N22" i="1"/>
  <c r="N23" i="1"/>
  <c r="N24" i="1"/>
  <c r="N25" i="1"/>
  <c r="N26" i="1"/>
  <c r="N27" i="1"/>
  <c r="N28" i="1"/>
  <c r="N29" i="1"/>
  <c r="N30" i="1"/>
  <c r="N31" i="1"/>
  <c r="N20" i="1"/>
  <c r="I31" i="1"/>
  <c r="I32" i="1"/>
  <c r="I33" i="1"/>
  <c r="I34" i="1"/>
  <c r="I35" i="1"/>
  <c r="I36" i="1"/>
  <c r="I37" i="1"/>
  <c r="I38" i="1"/>
  <c r="I39" i="1"/>
  <c r="I21" i="1"/>
  <c r="I22" i="1"/>
  <c r="I23" i="1"/>
  <c r="I24" i="1"/>
  <c r="I25" i="1"/>
  <c r="I26" i="1"/>
  <c r="I27" i="1"/>
  <c r="I28" i="1"/>
  <c r="I29" i="1"/>
  <c r="I20" i="1"/>
  <c r="H31" i="1"/>
  <c r="H32" i="1"/>
  <c r="H33" i="1"/>
  <c r="H34" i="1"/>
  <c r="H35" i="1"/>
  <c r="H36" i="1"/>
  <c r="H37" i="1"/>
  <c r="H38" i="1"/>
  <c r="H39" i="1"/>
  <c r="H21" i="1"/>
  <c r="H22" i="1"/>
  <c r="H23" i="1"/>
  <c r="H24" i="1"/>
  <c r="H25" i="1"/>
  <c r="H26" i="1"/>
  <c r="H27" i="1"/>
  <c r="H28" i="1"/>
  <c r="H29" i="1"/>
  <c r="H20" i="1"/>
  <c r="C33" i="1"/>
  <c r="C34" i="1"/>
  <c r="C35" i="1"/>
  <c r="C36" i="1"/>
  <c r="C37" i="1"/>
  <c r="C38" i="1"/>
  <c r="C39" i="1"/>
  <c r="C40" i="1"/>
  <c r="C41" i="1"/>
  <c r="C42" i="1"/>
  <c r="C43" i="1"/>
  <c r="C32" i="1"/>
  <c r="C21" i="1"/>
  <c r="C22" i="1"/>
  <c r="C23" i="1"/>
  <c r="C24" i="1"/>
  <c r="C25" i="1"/>
  <c r="C26" i="1"/>
  <c r="C27" i="1"/>
  <c r="C28" i="1"/>
  <c r="C29" i="1"/>
  <c r="C30" i="1"/>
  <c r="C31" i="1"/>
  <c r="C20" i="1"/>
  <c r="B33" i="1"/>
  <c r="B34" i="1"/>
  <c r="B35" i="1"/>
  <c r="B36" i="1"/>
  <c r="B37" i="1"/>
  <c r="B38" i="1"/>
  <c r="B39" i="1"/>
  <c r="B40" i="1"/>
  <c r="B41" i="1"/>
  <c r="B42" i="1"/>
  <c r="B43" i="1"/>
  <c r="B32" i="1"/>
  <c r="B21" i="1"/>
  <c r="B22" i="1"/>
  <c r="B23" i="1"/>
  <c r="B24" i="1"/>
  <c r="B25" i="1"/>
  <c r="B26" i="1"/>
  <c r="B27" i="1"/>
  <c r="B28" i="1"/>
  <c r="B29" i="1"/>
  <c r="B30" i="1"/>
  <c r="B31" i="1"/>
  <c r="B20" i="1"/>
  <c r="B6" i="1" l="1"/>
</calcChain>
</file>

<file path=xl/sharedStrings.xml><?xml version="1.0" encoding="utf-8"?>
<sst xmlns="http://schemas.openxmlformats.org/spreadsheetml/2006/main" count="89" uniqueCount="35">
  <si>
    <t>№1 Металличское олово</t>
  </si>
  <si>
    <t>№</t>
  </si>
  <si>
    <t>V-</t>
  </si>
  <si>
    <t>I-</t>
  </si>
  <si>
    <t>V+</t>
  </si>
  <si>
    <t>I+</t>
  </si>
  <si>
    <t>№4 SnO2</t>
  </si>
  <si>
    <t>№2 (металическое олово другой толщины)</t>
  </si>
  <si>
    <t>№3 (металическое олово другой толщины)</t>
  </si>
  <si>
    <t>первый эксперимент</t>
  </si>
  <si>
    <t>Интесивность, N</t>
  </si>
  <si>
    <t>Нижний порог, V</t>
  </si>
  <si>
    <t>для построения графика</t>
  </si>
  <si>
    <t>V</t>
  </si>
  <si>
    <t>I</t>
  </si>
  <si>
    <t>Положение держателя</t>
  </si>
  <si>
    <t>Поглотитель</t>
  </si>
  <si>
    <t>Толщина Поглотителя</t>
  </si>
  <si>
    <t>Sn</t>
  </si>
  <si>
    <t>Sn$O_2$</t>
  </si>
  <si>
    <t>--</t>
  </si>
  <si>
    <t>Образец</t>
  </si>
  <si>
    <t>$\varepsilon$ в \%</t>
  </si>
  <si>
    <t>16 $\pm$ 5</t>
  </si>
  <si>
    <t>13 $\pm$ 5</t>
  </si>
  <si>
    <t>15 $\pm$ 5</t>
  </si>
  <si>
    <t>29 $\pm$ 5</t>
  </si>
  <si>
    <t>2,48 $\pm$ 0,08</t>
  </si>
  <si>
    <t>2,58 $\pm$ 0,08</t>
  </si>
  <si>
    <t>2,49 $\pm$ 0,07</t>
  </si>
  <si>
    <t>0,05 $\pm$ 0,003</t>
  </si>
  <si>
    <t>D,  мм/c</t>
  </si>
  <si>
    <t>Г,  мм/c</t>
  </si>
  <si>
    <t>D*10^{-7} , эВ</t>
  </si>
  <si>
    <t>Г*10^{-8},  эВ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</si>
</sst>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0" borderId="0" xfId="0" quotePrefix="1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N(V)</c:v>
          </c:tx>
          <c:marker>
            <c:spPr>
              <a:solidFill>
                <a:schemeClr val="tx1"/>
              </a:solidFill>
            </c:spPr>
          </c:marker>
          <c:cat>
            <c:numRef>
              <c:f>Лист1!$Z$7:$Z$22</c:f>
              <c:numCache>
                <c:formatCode>General</c:formatCode>
                <c:ptCount val="16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</c:numCache>
            </c:numRef>
          </c:cat>
          <c:val>
            <c:numRef>
              <c:f>Лист1!$AA$7:$AA$22</c:f>
              <c:numCache>
                <c:formatCode>General</c:formatCode>
                <c:ptCount val="16"/>
                <c:pt idx="0">
                  <c:v>20.399999999999999</c:v>
                </c:pt>
                <c:pt idx="1">
                  <c:v>12.6</c:v>
                </c:pt>
                <c:pt idx="2">
                  <c:v>16.600000000000001</c:v>
                </c:pt>
                <c:pt idx="3">
                  <c:v>30.4</c:v>
                </c:pt>
                <c:pt idx="4">
                  <c:v>32</c:v>
                </c:pt>
                <c:pt idx="5">
                  <c:v>48.2</c:v>
                </c:pt>
                <c:pt idx="6">
                  <c:v>62.6</c:v>
                </c:pt>
                <c:pt idx="7">
                  <c:v>63.8</c:v>
                </c:pt>
                <c:pt idx="8">
                  <c:v>65</c:v>
                </c:pt>
                <c:pt idx="9">
                  <c:v>59.2</c:v>
                </c:pt>
                <c:pt idx="10">
                  <c:v>47.8</c:v>
                </c:pt>
                <c:pt idx="11">
                  <c:v>28</c:v>
                </c:pt>
                <c:pt idx="12">
                  <c:v>24.2</c:v>
                </c:pt>
                <c:pt idx="13">
                  <c:v>13.6</c:v>
                </c:pt>
                <c:pt idx="14">
                  <c:v>10.4</c:v>
                </c:pt>
                <c:pt idx="15">
                  <c:v>6.2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76640"/>
        <c:axId val="98785920"/>
      </c:lineChart>
      <c:catAx>
        <c:axId val="1001766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Нижний порог, </a:t>
                </a:r>
                <a:r>
                  <a:rPr lang="en-US"/>
                  <a:t>V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8785920"/>
        <c:crosses val="autoZero"/>
        <c:auto val="1"/>
        <c:lblAlgn val="ctr"/>
        <c:lblOffset val="100"/>
        <c:noMultiLvlLbl val="1"/>
      </c:catAx>
      <c:valAx>
        <c:axId val="987859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Интесивность, </a:t>
                </a:r>
                <a:r>
                  <a:rPr lang="en-US"/>
                  <a:t>N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0176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№1</c:v>
          </c:tx>
          <c:spPr>
            <a:ln w="28575">
              <a:noFill/>
            </a:ln>
          </c:spPr>
          <c:xVal>
            <c:numRef>
              <c:f>Лист1!$B$20:$B$43</c:f>
              <c:numCache>
                <c:formatCode>0.00</c:formatCode>
                <c:ptCount val="24"/>
                <c:pt idx="0">
                  <c:v>0</c:v>
                </c:pt>
                <c:pt idx="1">
                  <c:v>-0.4</c:v>
                </c:pt>
                <c:pt idx="2">
                  <c:v>-1</c:v>
                </c:pt>
                <c:pt idx="3">
                  <c:v>-1.82</c:v>
                </c:pt>
                <c:pt idx="4">
                  <c:v>-1.34</c:v>
                </c:pt>
                <c:pt idx="5">
                  <c:v>-2.78</c:v>
                </c:pt>
                <c:pt idx="6">
                  <c:v>-2.3199999999999998</c:v>
                </c:pt>
                <c:pt idx="7">
                  <c:v>-3.19</c:v>
                </c:pt>
                <c:pt idx="8">
                  <c:v>-4.1900000000000004</c:v>
                </c:pt>
                <c:pt idx="9">
                  <c:v>-5.09</c:v>
                </c:pt>
                <c:pt idx="10">
                  <c:v>-5.6</c:v>
                </c:pt>
                <c:pt idx="11">
                  <c:v>-5.8</c:v>
                </c:pt>
                <c:pt idx="12">
                  <c:v>0</c:v>
                </c:pt>
                <c:pt idx="13">
                  <c:v>0.44</c:v>
                </c:pt>
                <c:pt idx="14">
                  <c:v>1.0900000000000001</c:v>
                </c:pt>
                <c:pt idx="15">
                  <c:v>1.97</c:v>
                </c:pt>
                <c:pt idx="16">
                  <c:v>1.44</c:v>
                </c:pt>
                <c:pt idx="17">
                  <c:v>2.94</c:v>
                </c:pt>
                <c:pt idx="18">
                  <c:v>2.48</c:v>
                </c:pt>
                <c:pt idx="19">
                  <c:v>3.38</c:v>
                </c:pt>
                <c:pt idx="20">
                  <c:v>4.46</c:v>
                </c:pt>
                <c:pt idx="21">
                  <c:v>5.42</c:v>
                </c:pt>
                <c:pt idx="22">
                  <c:v>5.98</c:v>
                </c:pt>
                <c:pt idx="23">
                  <c:v>6.18</c:v>
                </c:pt>
              </c:numCache>
            </c:numRef>
          </c:xVal>
          <c:yVal>
            <c:numRef>
              <c:f>Лист1!$C$20:$C$43</c:f>
              <c:numCache>
                <c:formatCode>General</c:formatCode>
                <c:ptCount val="24"/>
                <c:pt idx="0">
                  <c:v>128.9</c:v>
                </c:pt>
                <c:pt idx="1">
                  <c:v>136.19999999999999</c:v>
                </c:pt>
                <c:pt idx="2">
                  <c:v>135.5</c:v>
                </c:pt>
                <c:pt idx="3">
                  <c:v>136</c:v>
                </c:pt>
                <c:pt idx="4">
                  <c:v>133.9</c:v>
                </c:pt>
                <c:pt idx="5">
                  <c:v>146.5</c:v>
                </c:pt>
                <c:pt idx="6">
                  <c:v>141.1</c:v>
                </c:pt>
                <c:pt idx="7">
                  <c:v>136.4</c:v>
                </c:pt>
                <c:pt idx="8">
                  <c:v>131.69999999999999</c:v>
                </c:pt>
                <c:pt idx="9">
                  <c:v>137.19999999999999</c:v>
                </c:pt>
                <c:pt idx="10">
                  <c:v>137.4</c:v>
                </c:pt>
                <c:pt idx="11">
                  <c:v>138</c:v>
                </c:pt>
                <c:pt idx="12">
                  <c:v>128.9</c:v>
                </c:pt>
                <c:pt idx="13">
                  <c:v>144.19999999999999</c:v>
                </c:pt>
                <c:pt idx="14">
                  <c:v>136.80000000000001</c:v>
                </c:pt>
                <c:pt idx="15">
                  <c:v>133.19999999999999</c:v>
                </c:pt>
                <c:pt idx="16">
                  <c:v>137</c:v>
                </c:pt>
                <c:pt idx="17">
                  <c:v>123.4</c:v>
                </c:pt>
                <c:pt idx="18">
                  <c:v>117.4</c:v>
                </c:pt>
                <c:pt idx="19">
                  <c:v>134</c:v>
                </c:pt>
                <c:pt idx="20">
                  <c:v>138.1</c:v>
                </c:pt>
                <c:pt idx="21">
                  <c:v>141.4</c:v>
                </c:pt>
                <c:pt idx="22">
                  <c:v>139.19999999999999</c:v>
                </c:pt>
                <c:pt idx="23">
                  <c:v>140.19999999999999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19456"/>
        <c:axId val="98821632"/>
      </c:scatterChart>
      <c:valAx>
        <c:axId val="98819456"/>
        <c:scaling>
          <c:orientation val="minMax"/>
          <c:max val="6"/>
          <c:min val="-6.2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</a:t>
                </a:r>
                <a:endParaRPr lang="ru-RU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98821632"/>
        <c:crosses val="autoZero"/>
        <c:crossBetween val="midCat"/>
        <c:majorUnit val="1"/>
        <c:minorUnit val="0.5"/>
      </c:valAx>
      <c:valAx>
        <c:axId val="98821632"/>
        <c:scaling>
          <c:orientation val="minMax"/>
          <c:max val="150"/>
          <c:min val="115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8819456"/>
        <c:crossesAt val="-6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№4</c:v>
          </c:tx>
          <c:spPr>
            <a:ln w="28575">
              <a:noFill/>
            </a:ln>
          </c:spPr>
          <c:xVal>
            <c:numRef>
              <c:f>Лист1!$H$21:$H$39</c:f>
              <c:numCache>
                <c:formatCode>General</c:formatCode>
                <c:ptCount val="19"/>
                <c:pt idx="0">
                  <c:v>-0.79</c:v>
                </c:pt>
                <c:pt idx="1">
                  <c:v>-1.51</c:v>
                </c:pt>
                <c:pt idx="2">
                  <c:v>-2.13</c:v>
                </c:pt>
                <c:pt idx="3">
                  <c:v>-2.35</c:v>
                </c:pt>
                <c:pt idx="4">
                  <c:v>-3.25</c:v>
                </c:pt>
                <c:pt idx="5">
                  <c:v>-3.95</c:v>
                </c:pt>
                <c:pt idx="6">
                  <c:v>-4.6100000000000003</c:v>
                </c:pt>
                <c:pt idx="7">
                  <c:v>-5.1100000000000003</c:v>
                </c:pt>
                <c:pt idx="8">
                  <c:v>-0.28999999999999998</c:v>
                </c:pt>
                <c:pt idx="10">
                  <c:v>0.88</c:v>
                </c:pt>
                <c:pt idx="11">
                  <c:v>1.64</c:v>
                </c:pt>
                <c:pt idx="12">
                  <c:v>2.29</c:v>
                </c:pt>
                <c:pt idx="13">
                  <c:v>2.5</c:v>
                </c:pt>
                <c:pt idx="14">
                  <c:v>3.46</c:v>
                </c:pt>
                <c:pt idx="15">
                  <c:v>4.2</c:v>
                </c:pt>
                <c:pt idx="16">
                  <c:v>4.8899999999999997</c:v>
                </c:pt>
                <c:pt idx="17">
                  <c:v>5.43</c:v>
                </c:pt>
                <c:pt idx="18">
                  <c:v>0.34</c:v>
                </c:pt>
              </c:numCache>
            </c:numRef>
          </c:xVal>
          <c:yVal>
            <c:numRef>
              <c:f>Лист1!$I$21:$I$39</c:f>
              <c:numCache>
                <c:formatCode>General</c:formatCode>
                <c:ptCount val="19"/>
                <c:pt idx="0">
                  <c:v>222</c:v>
                </c:pt>
                <c:pt idx="1">
                  <c:v>239.4</c:v>
                </c:pt>
                <c:pt idx="2">
                  <c:v>250.7</c:v>
                </c:pt>
                <c:pt idx="3">
                  <c:v>259.8</c:v>
                </c:pt>
                <c:pt idx="4">
                  <c:v>259</c:v>
                </c:pt>
                <c:pt idx="5">
                  <c:v>258</c:v>
                </c:pt>
                <c:pt idx="6">
                  <c:v>260.5</c:v>
                </c:pt>
                <c:pt idx="7">
                  <c:v>271.3</c:v>
                </c:pt>
                <c:pt idx="8">
                  <c:v>195.3</c:v>
                </c:pt>
                <c:pt idx="10">
                  <c:v>224.4</c:v>
                </c:pt>
                <c:pt idx="11">
                  <c:v>250.4</c:v>
                </c:pt>
                <c:pt idx="12">
                  <c:v>262</c:v>
                </c:pt>
                <c:pt idx="13">
                  <c:v>263</c:v>
                </c:pt>
                <c:pt idx="14">
                  <c:v>263.2</c:v>
                </c:pt>
                <c:pt idx="15">
                  <c:v>270.39999999999998</c:v>
                </c:pt>
                <c:pt idx="16">
                  <c:v>267.3</c:v>
                </c:pt>
                <c:pt idx="17">
                  <c:v>266.39999999999998</c:v>
                </c:pt>
                <c:pt idx="18">
                  <c:v>199.9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40384"/>
        <c:axId val="99842304"/>
      </c:scatterChart>
      <c:valAx>
        <c:axId val="998403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9842304"/>
        <c:crosses val="autoZero"/>
        <c:crossBetween val="midCat"/>
        <c:majorUnit val="1"/>
        <c:minorUnit val="0.5"/>
      </c:valAx>
      <c:valAx>
        <c:axId val="99842304"/>
        <c:scaling>
          <c:orientation val="minMax"/>
          <c:max val="270"/>
          <c:min val="19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9840384"/>
        <c:crossesAt val="-6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№2</c:v>
          </c:tx>
          <c:spPr>
            <a:ln w="28575">
              <a:noFill/>
            </a:ln>
          </c:spPr>
          <c:xVal>
            <c:numRef>
              <c:f>Лист1!$N$20:$N$43</c:f>
              <c:numCache>
                <c:formatCode>General</c:formatCode>
                <c:ptCount val="24"/>
                <c:pt idx="0">
                  <c:v>0</c:v>
                </c:pt>
                <c:pt idx="1">
                  <c:v>-0.23</c:v>
                </c:pt>
                <c:pt idx="2">
                  <c:v>-0.93</c:v>
                </c:pt>
                <c:pt idx="3">
                  <c:v>-1.68</c:v>
                </c:pt>
                <c:pt idx="4">
                  <c:v>-2</c:v>
                </c:pt>
                <c:pt idx="5">
                  <c:v>-2.5</c:v>
                </c:pt>
                <c:pt idx="6">
                  <c:v>-2.94</c:v>
                </c:pt>
                <c:pt idx="7">
                  <c:v>-3.43</c:v>
                </c:pt>
                <c:pt idx="8">
                  <c:v>-4.28</c:v>
                </c:pt>
                <c:pt idx="9">
                  <c:v>-4.7300000000000004</c:v>
                </c:pt>
                <c:pt idx="10">
                  <c:v>-5.32</c:v>
                </c:pt>
                <c:pt idx="11">
                  <c:v>-5.59</c:v>
                </c:pt>
                <c:pt idx="12">
                  <c:v>0</c:v>
                </c:pt>
                <c:pt idx="13">
                  <c:v>0.32</c:v>
                </c:pt>
                <c:pt idx="14">
                  <c:v>1.01</c:v>
                </c:pt>
                <c:pt idx="15">
                  <c:v>1.79</c:v>
                </c:pt>
                <c:pt idx="16">
                  <c:v>2.14</c:v>
                </c:pt>
                <c:pt idx="17">
                  <c:v>2.68</c:v>
                </c:pt>
                <c:pt idx="18">
                  <c:v>3.11</c:v>
                </c:pt>
                <c:pt idx="19">
                  <c:v>3.66</c:v>
                </c:pt>
                <c:pt idx="20">
                  <c:v>4.54</c:v>
                </c:pt>
                <c:pt idx="21">
                  <c:v>5.04</c:v>
                </c:pt>
                <c:pt idx="22">
                  <c:v>5.66</c:v>
                </c:pt>
                <c:pt idx="23">
                  <c:v>5.98</c:v>
                </c:pt>
              </c:numCache>
            </c:numRef>
          </c:xVal>
          <c:yVal>
            <c:numRef>
              <c:f>Лист1!$O$20:$O$43</c:f>
              <c:numCache>
                <c:formatCode>General</c:formatCode>
                <c:ptCount val="24"/>
                <c:pt idx="0">
                  <c:v>284.5</c:v>
                </c:pt>
                <c:pt idx="1">
                  <c:v>282.8</c:v>
                </c:pt>
                <c:pt idx="2">
                  <c:v>290.3</c:v>
                </c:pt>
                <c:pt idx="3">
                  <c:v>293.3</c:v>
                </c:pt>
                <c:pt idx="4">
                  <c:v>292.60000000000002</c:v>
                </c:pt>
                <c:pt idx="5">
                  <c:v>292.89999999999998</c:v>
                </c:pt>
                <c:pt idx="6">
                  <c:v>294.2</c:v>
                </c:pt>
                <c:pt idx="7">
                  <c:v>297.7</c:v>
                </c:pt>
                <c:pt idx="8">
                  <c:v>294.5</c:v>
                </c:pt>
                <c:pt idx="9">
                  <c:v>292</c:v>
                </c:pt>
                <c:pt idx="10">
                  <c:v>291.3</c:v>
                </c:pt>
                <c:pt idx="11">
                  <c:v>292.3</c:v>
                </c:pt>
                <c:pt idx="12" formatCode="0.0">
                  <c:v>284.5</c:v>
                </c:pt>
                <c:pt idx="13" formatCode="0.0">
                  <c:v>302.10000000000002</c:v>
                </c:pt>
                <c:pt idx="14" formatCode="0.0">
                  <c:v>295.5</c:v>
                </c:pt>
                <c:pt idx="15" formatCode="0.0">
                  <c:v>292.39999999999998</c:v>
                </c:pt>
                <c:pt idx="16" formatCode="0.0">
                  <c:v>274.7</c:v>
                </c:pt>
                <c:pt idx="17" formatCode="0.0">
                  <c:v>264</c:v>
                </c:pt>
                <c:pt idx="18" formatCode="0.0">
                  <c:v>275.8</c:v>
                </c:pt>
                <c:pt idx="19" formatCode="0.0">
                  <c:v>296.60000000000002</c:v>
                </c:pt>
                <c:pt idx="20" formatCode="0.0">
                  <c:v>299.5</c:v>
                </c:pt>
                <c:pt idx="21" formatCode="0.0">
                  <c:v>292.60000000000002</c:v>
                </c:pt>
                <c:pt idx="22" formatCode="0.0">
                  <c:v>299.60000000000002</c:v>
                </c:pt>
                <c:pt idx="23" formatCode="0.0">
                  <c:v>304.5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63552"/>
        <c:axId val="99865728"/>
      </c:scatterChart>
      <c:valAx>
        <c:axId val="99863552"/>
        <c:scaling>
          <c:orientation val="minMax"/>
          <c:max val="6.5"/>
          <c:min val="-6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9865728"/>
        <c:crosses val="autoZero"/>
        <c:crossBetween val="midCat"/>
        <c:majorUnit val="1"/>
        <c:minorUnit val="0.5"/>
      </c:valAx>
      <c:valAx>
        <c:axId val="998657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9863552"/>
        <c:crossesAt val="-6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№3</c:v>
          </c:tx>
          <c:spPr>
            <a:ln w="28575">
              <a:noFill/>
            </a:ln>
          </c:spPr>
          <c:xVal>
            <c:numRef>
              <c:f>Лист1!$T$20:$T$45</c:f>
              <c:numCache>
                <c:formatCode>General</c:formatCode>
                <c:ptCount val="26"/>
                <c:pt idx="1">
                  <c:v>-0.3</c:v>
                </c:pt>
                <c:pt idx="2">
                  <c:v>-0.75</c:v>
                </c:pt>
                <c:pt idx="3">
                  <c:v>-1.27</c:v>
                </c:pt>
                <c:pt idx="4">
                  <c:v>-1.83</c:v>
                </c:pt>
                <c:pt idx="5">
                  <c:v>-2.34</c:v>
                </c:pt>
                <c:pt idx="6">
                  <c:v>-3.23</c:v>
                </c:pt>
                <c:pt idx="7">
                  <c:v>-2.79</c:v>
                </c:pt>
                <c:pt idx="8">
                  <c:v>-3.92</c:v>
                </c:pt>
                <c:pt idx="9">
                  <c:v>-4.55</c:v>
                </c:pt>
                <c:pt idx="10">
                  <c:v>-5.13</c:v>
                </c:pt>
                <c:pt idx="11">
                  <c:v>-5.48</c:v>
                </c:pt>
                <c:pt idx="12">
                  <c:v>-5.71</c:v>
                </c:pt>
                <c:pt idx="14">
                  <c:v>0.45</c:v>
                </c:pt>
                <c:pt idx="15">
                  <c:v>0.8</c:v>
                </c:pt>
                <c:pt idx="16">
                  <c:v>1.37</c:v>
                </c:pt>
                <c:pt idx="17">
                  <c:v>1.95</c:v>
                </c:pt>
                <c:pt idx="18">
                  <c:v>2.4900000000000002</c:v>
                </c:pt>
                <c:pt idx="19">
                  <c:v>3.44</c:v>
                </c:pt>
                <c:pt idx="20">
                  <c:v>2.96</c:v>
                </c:pt>
                <c:pt idx="21">
                  <c:v>4.17</c:v>
                </c:pt>
                <c:pt idx="22">
                  <c:v>4.82</c:v>
                </c:pt>
                <c:pt idx="23">
                  <c:v>5.45</c:v>
                </c:pt>
                <c:pt idx="24">
                  <c:v>5.84</c:v>
                </c:pt>
                <c:pt idx="25">
                  <c:v>6.11</c:v>
                </c:pt>
              </c:numCache>
            </c:numRef>
          </c:xVal>
          <c:yVal>
            <c:numRef>
              <c:f>Лист1!$U$20:$U$45</c:f>
              <c:numCache>
                <c:formatCode>General</c:formatCode>
                <c:ptCount val="26"/>
                <c:pt idx="1">
                  <c:v>77.099999999999994</c:v>
                </c:pt>
                <c:pt idx="2">
                  <c:v>83.1</c:v>
                </c:pt>
                <c:pt idx="3">
                  <c:v>82.9</c:v>
                </c:pt>
                <c:pt idx="4">
                  <c:v>86.3</c:v>
                </c:pt>
                <c:pt idx="5">
                  <c:v>84</c:v>
                </c:pt>
                <c:pt idx="6">
                  <c:v>86.1</c:v>
                </c:pt>
                <c:pt idx="7">
                  <c:v>83.7</c:v>
                </c:pt>
                <c:pt idx="8">
                  <c:v>81.2</c:v>
                </c:pt>
                <c:pt idx="9">
                  <c:v>84.8</c:v>
                </c:pt>
                <c:pt idx="10">
                  <c:v>87.3</c:v>
                </c:pt>
                <c:pt idx="11">
                  <c:v>84</c:v>
                </c:pt>
                <c:pt idx="12">
                  <c:v>79.5</c:v>
                </c:pt>
                <c:pt idx="14">
                  <c:v>85.1</c:v>
                </c:pt>
                <c:pt idx="15">
                  <c:v>82.3</c:v>
                </c:pt>
                <c:pt idx="16">
                  <c:v>85.7</c:v>
                </c:pt>
                <c:pt idx="17">
                  <c:v>82.9</c:v>
                </c:pt>
                <c:pt idx="18">
                  <c:v>72.900000000000006</c:v>
                </c:pt>
                <c:pt idx="19">
                  <c:v>83.6</c:v>
                </c:pt>
                <c:pt idx="20">
                  <c:v>81.7</c:v>
                </c:pt>
                <c:pt idx="21">
                  <c:v>88.8</c:v>
                </c:pt>
                <c:pt idx="22">
                  <c:v>87.7</c:v>
                </c:pt>
                <c:pt idx="23">
                  <c:v>89.1</c:v>
                </c:pt>
                <c:pt idx="24">
                  <c:v>83.8</c:v>
                </c:pt>
                <c:pt idx="25">
                  <c:v>84.6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95552"/>
        <c:axId val="99905920"/>
      </c:scatterChart>
      <c:valAx>
        <c:axId val="99895552"/>
        <c:scaling>
          <c:orientation val="minMax"/>
          <c:max val="6"/>
          <c:min val="-6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9905920"/>
        <c:crosses val="autoZero"/>
        <c:crossBetween val="midCat"/>
        <c:majorUnit val="1"/>
        <c:minorUnit val="0.5"/>
      </c:valAx>
      <c:valAx>
        <c:axId val="99905920"/>
        <c:scaling>
          <c:orientation val="minMax"/>
          <c:max val="95"/>
          <c:min val="75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9895552"/>
        <c:crossesAt val="-6"/>
        <c:crossBetween val="midCat"/>
        <c:majorUnit val="2"/>
        <c:minorUnit val="0.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533400</xdr:colOff>
      <xdr:row>23</xdr:row>
      <xdr:rowOff>57150</xdr:rowOff>
    </xdr:from>
    <xdr:to>
      <xdr:col>32</xdr:col>
      <xdr:colOff>495300</xdr:colOff>
      <xdr:row>46</xdr:row>
      <xdr:rowOff>68580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43</xdr:row>
      <xdr:rowOff>26670</xdr:rowOff>
    </xdr:from>
    <xdr:to>
      <xdr:col>8</xdr:col>
      <xdr:colOff>480060</xdr:colOff>
      <xdr:row>66</xdr:row>
      <xdr:rowOff>83820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53340</xdr:colOff>
      <xdr:row>70</xdr:row>
      <xdr:rowOff>140970</xdr:rowOff>
    </xdr:from>
    <xdr:to>
      <xdr:col>14</xdr:col>
      <xdr:colOff>502920</xdr:colOff>
      <xdr:row>90</xdr:row>
      <xdr:rowOff>53340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389516</xdr:colOff>
      <xdr:row>46</xdr:row>
      <xdr:rowOff>72838</xdr:rowOff>
    </xdr:from>
    <xdr:to>
      <xdr:col>20</xdr:col>
      <xdr:colOff>176156</xdr:colOff>
      <xdr:row>68</xdr:row>
      <xdr:rowOff>103542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471053</xdr:colOff>
      <xdr:row>70</xdr:row>
      <xdr:rowOff>159326</xdr:rowOff>
    </xdr:from>
    <xdr:to>
      <xdr:col>27</xdr:col>
      <xdr:colOff>415636</xdr:colOff>
      <xdr:row>92</xdr:row>
      <xdr:rowOff>96981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41"/>
  <sheetViews>
    <sheetView tabSelected="1" topLeftCell="O111" zoomScale="55" zoomScaleNormal="55" workbookViewId="0">
      <selection activeCell="N134" sqref="N134:R139"/>
    </sheetView>
  </sheetViews>
  <sheetFormatPr defaultRowHeight="14.4" x14ac:dyDescent="0.3"/>
  <cols>
    <col min="12" max="13" width="8.88671875" customWidth="1"/>
    <col min="14" max="14" width="27" customWidth="1"/>
    <col min="15" max="15" width="18.109375" customWidth="1"/>
    <col min="16" max="16" width="17.33203125" customWidth="1"/>
    <col min="17" max="17" width="19.21875" customWidth="1"/>
    <col min="18" max="18" width="17.33203125" customWidth="1"/>
    <col min="26" max="26" width="16.77734375" customWidth="1"/>
    <col min="27" max="27" width="15.33203125" customWidth="1"/>
    <col min="31" max="31" width="24" customWidth="1"/>
  </cols>
  <sheetData>
    <row r="1" spans="1:53" x14ac:dyDescent="0.3">
      <c r="A1" s="6" t="s">
        <v>0</v>
      </c>
      <c r="B1" s="6"/>
      <c r="C1" s="6"/>
      <c r="D1" s="6"/>
      <c r="E1" s="6"/>
      <c r="G1" s="6" t="s">
        <v>6</v>
      </c>
      <c r="H1" s="6"/>
      <c r="I1" s="6"/>
      <c r="J1" s="6"/>
      <c r="K1" s="6"/>
      <c r="M1" s="6" t="s">
        <v>7</v>
      </c>
      <c r="N1" s="6"/>
      <c r="O1" s="6"/>
      <c r="P1" s="6"/>
      <c r="Q1" s="6"/>
      <c r="S1" s="6" t="s">
        <v>8</v>
      </c>
      <c r="T1" s="6"/>
      <c r="U1" s="6"/>
      <c r="V1" s="6"/>
      <c r="W1" s="6"/>
      <c r="Y1" s="6" t="s">
        <v>9</v>
      </c>
      <c r="Z1" s="6"/>
      <c r="AA1" s="6"/>
    </row>
    <row r="2" spans="1:5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Y2" t="s">
        <v>1</v>
      </c>
      <c r="Z2" t="s">
        <v>11</v>
      </c>
      <c r="AA2" t="s">
        <v>10</v>
      </c>
    </row>
    <row r="3" spans="1:53" x14ac:dyDescent="0.3">
      <c r="A3" s="1">
        <v>1</v>
      </c>
      <c r="B3" s="3">
        <v>0</v>
      </c>
      <c r="C3">
        <v>128.9</v>
      </c>
      <c r="D3">
        <v>0</v>
      </c>
      <c r="E3">
        <v>128.9</v>
      </c>
      <c r="G3" s="2">
        <v>1</v>
      </c>
      <c r="H3">
        <v>0</v>
      </c>
      <c r="I3">
        <v>3474.4</v>
      </c>
      <c r="J3">
        <v>0</v>
      </c>
      <c r="K3">
        <v>3474.4</v>
      </c>
      <c r="M3">
        <v>1</v>
      </c>
      <c r="N3">
        <v>0</v>
      </c>
      <c r="O3">
        <v>284.5</v>
      </c>
      <c r="P3">
        <v>0</v>
      </c>
      <c r="Q3" s="4">
        <v>284.5</v>
      </c>
      <c r="S3">
        <v>1</v>
      </c>
      <c r="T3">
        <v>0</v>
      </c>
      <c r="U3">
        <v>95</v>
      </c>
      <c r="V3">
        <v>0</v>
      </c>
      <c r="W3">
        <v>95</v>
      </c>
      <c r="Y3">
        <v>1</v>
      </c>
      <c r="Z3">
        <v>0</v>
      </c>
      <c r="AA3">
        <v>0</v>
      </c>
    </row>
    <row r="4" spans="1:53" x14ac:dyDescent="0.3">
      <c r="A4" s="1">
        <v>2</v>
      </c>
      <c r="B4" s="3">
        <v>0.4</v>
      </c>
      <c r="C4">
        <v>136.19999999999999</v>
      </c>
      <c r="D4">
        <v>0.44</v>
      </c>
      <c r="E4">
        <v>144.19999999999999</v>
      </c>
      <c r="G4" s="2">
        <v>2</v>
      </c>
      <c r="H4">
        <v>0.79</v>
      </c>
      <c r="I4">
        <v>222</v>
      </c>
      <c r="J4">
        <v>0.88</v>
      </c>
      <c r="K4">
        <v>224.4</v>
      </c>
      <c r="M4">
        <v>2</v>
      </c>
      <c r="N4">
        <v>0.23</v>
      </c>
      <c r="O4">
        <v>282.8</v>
      </c>
      <c r="P4">
        <v>0.32</v>
      </c>
      <c r="Q4" s="4">
        <v>302.10000000000002</v>
      </c>
      <c r="S4">
        <v>2</v>
      </c>
      <c r="T4">
        <v>0.3</v>
      </c>
      <c r="U4">
        <v>77.099999999999994</v>
      </c>
      <c r="V4">
        <v>0.45</v>
      </c>
      <c r="W4">
        <v>85.1</v>
      </c>
      <c r="Y4">
        <v>2</v>
      </c>
      <c r="Z4">
        <v>0.5</v>
      </c>
      <c r="AA4">
        <v>0</v>
      </c>
    </row>
    <row r="5" spans="1:53" x14ac:dyDescent="0.3">
      <c r="A5" s="1">
        <v>3</v>
      </c>
      <c r="B5" s="3">
        <v>1</v>
      </c>
      <c r="C5">
        <v>135.5</v>
      </c>
      <c r="D5">
        <v>1.0900000000000001</v>
      </c>
      <c r="E5">
        <v>136.80000000000001</v>
      </c>
      <c r="G5" s="2">
        <v>3</v>
      </c>
      <c r="H5">
        <v>1.51</v>
      </c>
      <c r="I5">
        <v>239.4</v>
      </c>
      <c r="J5">
        <v>1.64</v>
      </c>
      <c r="K5">
        <v>250.4</v>
      </c>
      <c r="M5">
        <v>3</v>
      </c>
      <c r="N5">
        <v>0.93</v>
      </c>
      <c r="O5">
        <v>290.3</v>
      </c>
      <c r="P5">
        <v>1.01</v>
      </c>
      <c r="Q5" s="4">
        <v>295.5</v>
      </c>
      <c r="S5">
        <v>3</v>
      </c>
      <c r="T5">
        <v>0.75</v>
      </c>
      <c r="U5">
        <v>83.1</v>
      </c>
      <c r="V5">
        <v>0.8</v>
      </c>
      <c r="W5">
        <v>82.3</v>
      </c>
      <c r="Y5">
        <v>3</v>
      </c>
      <c r="Z5">
        <v>1</v>
      </c>
      <c r="AA5">
        <v>253.2</v>
      </c>
    </row>
    <row r="6" spans="1:53" x14ac:dyDescent="0.3">
      <c r="A6" s="1">
        <v>4</v>
      </c>
      <c r="B6" s="3">
        <f>182/100</f>
        <v>1.82</v>
      </c>
      <c r="C6">
        <v>136</v>
      </c>
      <c r="D6">
        <v>1.97</v>
      </c>
      <c r="E6">
        <v>133.19999999999999</v>
      </c>
      <c r="G6" s="2">
        <v>4</v>
      </c>
      <c r="H6">
        <v>2.13</v>
      </c>
      <c r="I6">
        <v>250.7</v>
      </c>
      <c r="J6">
        <v>2.29</v>
      </c>
      <c r="K6">
        <v>262</v>
      </c>
      <c r="M6">
        <v>4</v>
      </c>
      <c r="N6">
        <v>1.68</v>
      </c>
      <c r="O6">
        <v>293.3</v>
      </c>
      <c r="P6">
        <v>1.79</v>
      </c>
      <c r="Q6" s="4">
        <v>292.39999999999998</v>
      </c>
      <c r="S6">
        <v>4</v>
      </c>
      <c r="T6">
        <v>1.27</v>
      </c>
      <c r="U6">
        <v>82.9</v>
      </c>
      <c r="V6">
        <v>1.37</v>
      </c>
      <c r="W6">
        <v>85.7</v>
      </c>
      <c r="Y6">
        <v>4</v>
      </c>
      <c r="Z6">
        <v>1.5</v>
      </c>
      <c r="AA6">
        <v>166.4</v>
      </c>
      <c r="AG6" t="s">
        <v>1</v>
      </c>
      <c r="AH6">
        <v>1</v>
      </c>
      <c r="AI6">
        <v>2</v>
      </c>
      <c r="AJ6">
        <v>3</v>
      </c>
      <c r="AK6">
        <v>4</v>
      </c>
      <c r="AL6">
        <v>5</v>
      </c>
      <c r="AM6">
        <v>6</v>
      </c>
      <c r="AN6">
        <v>7</v>
      </c>
      <c r="AO6">
        <v>8</v>
      </c>
      <c r="AP6">
        <v>9</v>
      </c>
      <c r="AQ6">
        <v>10</v>
      </c>
      <c r="AR6">
        <v>11</v>
      </c>
      <c r="AS6">
        <v>12</v>
      </c>
      <c r="AT6">
        <v>13</v>
      </c>
      <c r="AU6">
        <v>14</v>
      </c>
      <c r="AV6">
        <v>15</v>
      </c>
      <c r="AW6">
        <v>16</v>
      </c>
      <c r="AX6">
        <v>17</v>
      </c>
      <c r="AY6">
        <v>18</v>
      </c>
      <c r="AZ6">
        <v>19</v>
      </c>
      <c r="BA6">
        <v>20</v>
      </c>
    </row>
    <row r="7" spans="1:53" x14ac:dyDescent="0.3">
      <c r="A7" s="1">
        <v>5</v>
      </c>
      <c r="B7" s="3">
        <v>1.34</v>
      </c>
      <c r="C7">
        <v>133.9</v>
      </c>
      <c r="D7">
        <v>1.44</v>
      </c>
      <c r="E7">
        <v>137</v>
      </c>
      <c r="G7" s="2">
        <v>5</v>
      </c>
      <c r="H7">
        <v>2.35</v>
      </c>
      <c r="I7">
        <v>259.8</v>
      </c>
      <c r="J7">
        <v>2.5</v>
      </c>
      <c r="K7">
        <v>263</v>
      </c>
      <c r="M7">
        <v>5</v>
      </c>
      <c r="N7">
        <v>2</v>
      </c>
      <c r="O7">
        <v>292.60000000000002</v>
      </c>
      <c r="P7">
        <v>2.14</v>
      </c>
      <c r="Q7" s="4">
        <v>274.7</v>
      </c>
      <c r="S7">
        <v>5</v>
      </c>
      <c r="T7">
        <v>1.83</v>
      </c>
      <c r="U7">
        <v>86.3</v>
      </c>
      <c r="V7">
        <v>1.95</v>
      </c>
      <c r="W7">
        <v>82.9</v>
      </c>
      <c r="Y7">
        <v>5</v>
      </c>
      <c r="Z7">
        <v>2</v>
      </c>
      <c r="AA7">
        <v>20.399999999999999</v>
      </c>
      <c r="AG7" t="s">
        <v>11</v>
      </c>
      <c r="AH7">
        <v>0</v>
      </c>
      <c r="AI7">
        <v>0.5</v>
      </c>
      <c r="AJ7">
        <v>1</v>
      </c>
      <c r="AK7">
        <v>1.5</v>
      </c>
      <c r="AL7">
        <v>2</v>
      </c>
      <c r="AM7">
        <v>2.5</v>
      </c>
      <c r="AN7">
        <v>3</v>
      </c>
      <c r="AO7">
        <v>3.5</v>
      </c>
      <c r="AP7">
        <v>4</v>
      </c>
      <c r="AQ7">
        <v>4.5</v>
      </c>
      <c r="AR7">
        <v>5</v>
      </c>
      <c r="AS7">
        <v>5.5</v>
      </c>
      <c r="AT7">
        <v>6</v>
      </c>
      <c r="AU7">
        <v>6.5</v>
      </c>
      <c r="AV7">
        <v>7</v>
      </c>
      <c r="AW7">
        <v>7.5</v>
      </c>
      <c r="AX7">
        <v>8</v>
      </c>
      <c r="AY7">
        <v>8.5</v>
      </c>
      <c r="AZ7">
        <v>9</v>
      </c>
      <c r="BA7">
        <v>9.5</v>
      </c>
    </row>
    <row r="8" spans="1:53" x14ac:dyDescent="0.3">
      <c r="A8" s="1">
        <v>6</v>
      </c>
      <c r="B8" s="3">
        <v>2.78</v>
      </c>
      <c r="C8">
        <v>146.5</v>
      </c>
      <c r="D8">
        <v>2.94</v>
      </c>
      <c r="E8">
        <v>123.4</v>
      </c>
      <c r="G8" s="2">
        <v>6</v>
      </c>
      <c r="H8">
        <v>3.25</v>
      </c>
      <c r="I8">
        <v>259</v>
      </c>
      <c r="J8">
        <v>3.46</v>
      </c>
      <c r="K8">
        <v>263.2</v>
      </c>
      <c r="M8">
        <v>6</v>
      </c>
      <c r="N8">
        <v>2.5</v>
      </c>
      <c r="O8">
        <v>292.89999999999998</v>
      </c>
      <c r="P8">
        <v>2.68</v>
      </c>
      <c r="Q8" s="4">
        <v>264</v>
      </c>
      <c r="S8">
        <v>6</v>
      </c>
      <c r="T8">
        <v>2.34</v>
      </c>
      <c r="U8">
        <v>84</v>
      </c>
      <c r="V8">
        <v>2.4900000000000002</v>
      </c>
      <c r="W8">
        <v>72.900000000000006</v>
      </c>
      <c r="Y8">
        <v>6</v>
      </c>
      <c r="Z8">
        <v>2.5</v>
      </c>
      <c r="AA8">
        <v>12.6</v>
      </c>
      <c r="AG8" t="s">
        <v>10</v>
      </c>
      <c r="AH8">
        <v>0</v>
      </c>
      <c r="AI8">
        <v>0</v>
      </c>
      <c r="AJ8">
        <v>253.2</v>
      </c>
      <c r="AK8">
        <v>166.4</v>
      </c>
      <c r="AL8">
        <v>20.399999999999999</v>
      </c>
      <c r="AM8">
        <v>12.6</v>
      </c>
      <c r="AN8">
        <v>16.600000000000001</v>
      </c>
      <c r="AO8">
        <v>30.4</v>
      </c>
      <c r="AP8">
        <v>32</v>
      </c>
      <c r="AQ8">
        <v>48.2</v>
      </c>
      <c r="AR8">
        <v>62.6</v>
      </c>
      <c r="AS8">
        <v>63.8</v>
      </c>
      <c r="AT8">
        <v>65</v>
      </c>
      <c r="AU8">
        <v>59.2</v>
      </c>
      <c r="AV8">
        <v>47.8</v>
      </c>
      <c r="AW8">
        <v>28</v>
      </c>
      <c r="AX8">
        <v>24.2</v>
      </c>
      <c r="AY8">
        <v>13.6</v>
      </c>
      <c r="AZ8">
        <v>10.4</v>
      </c>
      <c r="BA8">
        <v>6.2</v>
      </c>
    </row>
    <row r="9" spans="1:53" x14ac:dyDescent="0.3">
      <c r="A9" s="1">
        <v>7</v>
      </c>
      <c r="B9" s="3">
        <v>2.3199999999999998</v>
      </c>
      <c r="C9">
        <v>141.1</v>
      </c>
      <c r="D9">
        <v>2.48</v>
      </c>
      <c r="E9">
        <v>117.4</v>
      </c>
      <c r="G9" s="2">
        <v>7</v>
      </c>
      <c r="H9">
        <v>3.95</v>
      </c>
      <c r="I9">
        <v>258</v>
      </c>
      <c r="J9">
        <v>4.2</v>
      </c>
      <c r="K9">
        <v>270.39999999999998</v>
      </c>
      <c r="M9">
        <v>7</v>
      </c>
      <c r="N9">
        <v>2.94</v>
      </c>
      <c r="O9">
        <v>294.2</v>
      </c>
      <c r="P9">
        <v>3.11</v>
      </c>
      <c r="Q9" s="4">
        <v>275.8</v>
      </c>
      <c r="S9">
        <v>7</v>
      </c>
      <c r="T9">
        <v>3.23</v>
      </c>
      <c r="U9">
        <v>86.1</v>
      </c>
      <c r="V9">
        <v>3.44</v>
      </c>
      <c r="W9">
        <v>83.6</v>
      </c>
      <c r="Y9">
        <v>7</v>
      </c>
      <c r="Z9">
        <v>3</v>
      </c>
      <c r="AA9">
        <v>16.600000000000001</v>
      </c>
    </row>
    <row r="10" spans="1:53" x14ac:dyDescent="0.3">
      <c r="A10" s="1">
        <v>8</v>
      </c>
      <c r="B10" s="3">
        <v>3.19</v>
      </c>
      <c r="C10">
        <v>136.4</v>
      </c>
      <c r="D10">
        <v>3.38</v>
      </c>
      <c r="E10">
        <v>134</v>
      </c>
      <c r="G10" s="2">
        <v>8</v>
      </c>
      <c r="H10">
        <v>4.6100000000000003</v>
      </c>
      <c r="I10">
        <v>260.5</v>
      </c>
      <c r="J10">
        <v>4.8899999999999997</v>
      </c>
      <c r="K10">
        <v>267.3</v>
      </c>
      <c r="M10">
        <v>8</v>
      </c>
      <c r="N10">
        <v>3.43</v>
      </c>
      <c r="O10">
        <v>297.7</v>
      </c>
      <c r="P10">
        <v>3.66</v>
      </c>
      <c r="Q10" s="4">
        <v>296.60000000000002</v>
      </c>
      <c r="S10">
        <v>8</v>
      </c>
      <c r="T10">
        <v>2.79</v>
      </c>
      <c r="U10">
        <v>83.7</v>
      </c>
      <c r="V10">
        <v>2.96</v>
      </c>
      <c r="W10">
        <v>81.7</v>
      </c>
      <c r="Y10">
        <v>8</v>
      </c>
      <c r="Z10">
        <v>3.5</v>
      </c>
      <c r="AA10">
        <v>30.4</v>
      </c>
    </row>
    <row r="11" spans="1:53" x14ac:dyDescent="0.3">
      <c r="A11" s="1">
        <v>9</v>
      </c>
      <c r="B11" s="3">
        <v>4.1900000000000004</v>
      </c>
      <c r="C11">
        <v>131.69999999999999</v>
      </c>
      <c r="D11">
        <v>4.46</v>
      </c>
      <c r="E11">
        <v>138.1</v>
      </c>
      <c r="G11" s="2">
        <v>9</v>
      </c>
      <c r="H11">
        <v>5.1100000000000003</v>
      </c>
      <c r="I11">
        <v>271.3</v>
      </c>
      <c r="J11">
        <v>5.43</v>
      </c>
      <c r="K11">
        <v>266.39999999999998</v>
      </c>
      <c r="M11">
        <v>9</v>
      </c>
      <c r="N11">
        <v>4.28</v>
      </c>
      <c r="O11">
        <v>294.5</v>
      </c>
      <c r="P11">
        <v>4.54</v>
      </c>
      <c r="Q11" s="4">
        <v>299.5</v>
      </c>
      <c r="S11">
        <v>9</v>
      </c>
      <c r="T11">
        <v>3.92</v>
      </c>
      <c r="U11">
        <v>81.2</v>
      </c>
      <c r="V11">
        <v>4.17</v>
      </c>
      <c r="W11">
        <v>88.8</v>
      </c>
      <c r="Y11">
        <v>9</v>
      </c>
      <c r="Z11">
        <v>4</v>
      </c>
      <c r="AA11">
        <v>32</v>
      </c>
    </row>
    <row r="12" spans="1:53" x14ac:dyDescent="0.3">
      <c r="A12" s="1">
        <v>10</v>
      </c>
      <c r="B12" s="3">
        <v>5.09</v>
      </c>
      <c r="C12">
        <v>137.19999999999999</v>
      </c>
      <c r="D12">
        <v>5.42</v>
      </c>
      <c r="E12">
        <v>141.4</v>
      </c>
      <c r="G12" s="2">
        <v>10</v>
      </c>
      <c r="H12">
        <v>0.28999999999999998</v>
      </c>
      <c r="I12">
        <v>195.3</v>
      </c>
      <c r="J12">
        <v>0.34</v>
      </c>
      <c r="K12">
        <v>199.9</v>
      </c>
      <c r="M12">
        <v>10</v>
      </c>
      <c r="N12">
        <v>4.7300000000000004</v>
      </c>
      <c r="O12">
        <v>292</v>
      </c>
      <c r="P12">
        <v>5.04</v>
      </c>
      <c r="Q12" s="4">
        <v>292.60000000000002</v>
      </c>
      <c r="S12">
        <v>10</v>
      </c>
      <c r="T12">
        <v>4.55</v>
      </c>
      <c r="U12">
        <v>84.8</v>
      </c>
      <c r="V12">
        <v>4.82</v>
      </c>
      <c r="W12">
        <v>87.7</v>
      </c>
      <c r="Y12">
        <v>10</v>
      </c>
      <c r="Z12">
        <v>4.5</v>
      </c>
      <c r="AA12">
        <v>48.2</v>
      </c>
    </row>
    <row r="13" spans="1:53" x14ac:dyDescent="0.3">
      <c r="A13" s="1">
        <v>11</v>
      </c>
      <c r="B13" s="3">
        <v>5.6</v>
      </c>
      <c r="C13">
        <v>137.4</v>
      </c>
      <c r="D13">
        <v>5.98</v>
      </c>
      <c r="E13">
        <v>139.19999999999999</v>
      </c>
      <c r="G13" s="2"/>
      <c r="M13">
        <v>11</v>
      </c>
      <c r="N13">
        <v>5.32</v>
      </c>
      <c r="O13">
        <v>291.3</v>
      </c>
      <c r="P13">
        <v>5.66</v>
      </c>
      <c r="Q13" s="4">
        <v>299.60000000000002</v>
      </c>
      <c r="S13">
        <v>11</v>
      </c>
      <c r="T13">
        <v>5.13</v>
      </c>
      <c r="U13">
        <v>87.3</v>
      </c>
      <c r="V13">
        <v>5.45</v>
      </c>
      <c r="W13">
        <v>89.1</v>
      </c>
      <c r="Y13">
        <v>11</v>
      </c>
      <c r="Z13">
        <v>5</v>
      </c>
      <c r="AA13">
        <v>62.6</v>
      </c>
      <c r="AE13" s="5" t="s">
        <v>15</v>
      </c>
      <c r="AF13" s="5">
        <v>1</v>
      </c>
      <c r="AG13" s="5">
        <v>2</v>
      </c>
      <c r="AH13" s="5">
        <v>3</v>
      </c>
      <c r="AI13" s="5">
        <v>4</v>
      </c>
    </row>
    <row r="14" spans="1:53" x14ac:dyDescent="0.3">
      <c r="A14" s="1">
        <v>12</v>
      </c>
      <c r="B14" s="3">
        <v>5.8</v>
      </c>
      <c r="C14">
        <v>138</v>
      </c>
      <c r="D14">
        <v>6.18</v>
      </c>
      <c r="E14">
        <v>140.19999999999999</v>
      </c>
      <c r="G14" s="2"/>
      <c r="M14">
        <v>12</v>
      </c>
      <c r="N14">
        <v>5.59</v>
      </c>
      <c r="O14">
        <v>292.3</v>
      </c>
      <c r="P14">
        <v>5.98</v>
      </c>
      <c r="Q14" s="4">
        <v>304.5</v>
      </c>
      <c r="S14">
        <v>12</v>
      </c>
      <c r="T14">
        <v>5.48</v>
      </c>
      <c r="U14">
        <v>84</v>
      </c>
      <c r="V14">
        <v>5.84</v>
      </c>
      <c r="W14">
        <v>83.8</v>
      </c>
      <c r="Y14">
        <v>12</v>
      </c>
      <c r="Z14">
        <v>5.5</v>
      </c>
      <c r="AA14">
        <v>63.8</v>
      </c>
      <c r="AE14" s="5" t="s">
        <v>16</v>
      </c>
      <c r="AF14" s="5" t="s">
        <v>18</v>
      </c>
      <c r="AG14" s="5" t="s">
        <v>18</v>
      </c>
      <c r="AH14" s="5" t="s">
        <v>18</v>
      </c>
      <c r="AI14" s="5" t="s">
        <v>19</v>
      </c>
    </row>
    <row r="15" spans="1:53" x14ac:dyDescent="0.3">
      <c r="S15">
        <v>13</v>
      </c>
      <c r="T15">
        <v>5.71</v>
      </c>
      <c r="U15">
        <v>79.5</v>
      </c>
      <c r="V15">
        <v>6.11</v>
      </c>
      <c r="W15">
        <v>84.6</v>
      </c>
      <c r="Y15">
        <v>13</v>
      </c>
      <c r="Z15">
        <v>6</v>
      </c>
      <c r="AA15">
        <v>65</v>
      </c>
      <c r="AE15" s="5" t="s">
        <v>17</v>
      </c>
      <c r="AF15" s="5">
        <v>90</v>
      </c>
      <c r="AG15" s="5">
        <v>180</v>
      </c>
      <c r="AH15" s="5">
        <v>310</v>
      </c>
      <c r="AI15" s="7" t="s">
        <v>20</v>
      </c>
    </row>
    <row r="16" spans="1:53" x14ac:dyDescent="0.3">
      <c r="Y16">
        <v>14</v>
      </c>
      <c r="Z16">
        <v>6.5</v>
      </c>
      <c r="AA16">
        <v>59.2</v>
      </c>
    </row>
    <row r="17" spans="1:27" x14ac:dyDescent="0.3">
      <c r="Y17">
        <v>15</v>
      </c>
      <c r="Z17">
        <v>7</v>
      </c>
      <c r="AA17">
        <v>47.8</v>
      </c>
    </row>
    <row r="18" spans="1:27" x14ac:dyDescent="0.3">
      <c r="A18" s="6" t="s">
        <v>12</v>
      </c>
      <c r="B18" s="6"/>
      <c r="C18" s="6"/>
      <c r="G18" s="6" t="s">
        <v>12</v>
      </c>
      <c r="H18" s="6"/>
      <c r="I18" s="6"/>
      <c r="M18" s="6" t="s">
        <v>12</v>
      </c>
      <c r="N18" s="6"/>
      <c r="O18" s="6"/>
      <c r="S18" s="6" t="s">
        <v>12</v>
      </c>
      <c r="T18" s="6"/>
      <c r="U18" s="6"/>
      <c r="Y18">
        <v>16</v>
      </c>
      <c r="Z18">
        <v>7.5</v>
      </c>
      <c r="AA18">
        <v>28</v>
      </c>
    </row>
    <row r="19" spans="1:27" x14ac:dyDescent="0.3">
      <c r="A19" t="s">
        <v>1</v>
      </c>
      <c r="B19" t="s">
        <v>13</v>
      </c>
      <c r="C19" t="s">
        <v>14</v>
      </c>
      <c r="G19" t="s">
        <v>1</v>
      </c>
      <c r="H19" t="s">
        <v>13</v>
      </c>
      <c r="I19" t="s">
        <v>14</v>
      </c>
      <c r="M19" t="s">
        <v>1</v>
      </c>
      <c r="N19" t="s">
        <v>13</v>
      </c>
      <c r="O19" t="s">
        <v>14</v>
      </c>
      <c r="S19" t="s">
        <v>1</v>
      </c>
      <c r="T19" t="s">
        <v>13</v>
      </c>
      <c r="U19" t="s">
        <v>14</v>
      </c>
      <c r="Y19">
        <v>17</v>
      </c>
      <c r="Z19">
        <v>8</v>
      </c>
      <c r="AA19">
        <v>24.2</v>
      </c>
    </row>
    <row r="20" spans="1:27" x14ac:dyDescent="0.3">
      <c r="A20">
        <v>1</v>
      </c>
      <c r="B20" s="3">
        <f>-B3</f>
        <v>0</v>
      </c>
      <c r="C20">
        <f>C3</f>
        <v>128.9</v>
      </c>
      <c r="G20">
        <v>1</v>
      </c>
      <c r="H20">
        <f>-H3</f>
        <v>0</v>
      </c>
      <c r="I20">
        <f>I3</f>
        <v>3474.4</v>
      </c>
      <c r="M20">
        <v>1</v>
      </c>
      <c r="N20">
        <f>-N3</f>
        <v>0</v>
      </c>
      <c r="O20">
        <f>O3</f>
        <v>284.5</v>
      </c>
      <c r="S20">
        <v>1</v>
      </c>
      <c r="Y20">
        <v>18</v>
      </c>
      <c r="Z20">
        <v>8.5</v>
      </c>
      <c r="AA20">
        <v>13.6</v>
      </c>
    </row>
    <row r="21" spans="1:27" x14ac:dyDescent="0.3">
      <c r="A21">
        <v>2</v>
      </c>
      <c r="B21" s="3">
        <f t="shared" ref="B21:B31" si="0">-B4</f>
        <v>-0.4</v>
      </c>
      <c r="C21">
        <f t="shared" ref="C21:C31" si="1">C4</f>
        <v>136.19999999999999</v>
      </c>
      <c r="G21">
        <v>2</v>
      </c>
      <c r="H21">
        <f t="shared" ref="H21:H29" si="2">-H4</f>
        <v>-0.79</v>
      </c>
      <c r="I21">
        <f t="shared" ref="I21:I29" si="3">I4</f>
        <v>222</v>
      </c>
      <c r="M21">
        <v>2</v>
      </c>
      <c r="N21">
        <f t="shared" ref="N21:N31" si="4">-N4</f>
        <v>-0.23</v>
      </c>
      <c r="O21">
        <f t="shared" ref="O21:O31" si="5">O4</f>
        <v>282.8</v>
      </c>
      <c r="S21">
        <v>2</v>
      </c>
      <c r="T21">
        <f t="shared" ref="T21:T32" si="6">-T4</f>
        <v>-0.3</v>
      </c>
      <c r="U21">
        <f t="shared" ref="U21:U32" si="7">U4</f>
        <v>77.099999999999994</v>
      </c>
      <c r="Y21">
        <v>19</v>
      </c>
      <c r="Z21">
        <v>9</v>
      </c>
      <c r="AA21">
        <v>10.4</v>
      </c>
    </row>
    <row r="22" spans="1:27" x14ac:dyDescent="0.3">
      <c r="A22">
        <v>3</v>
      </c>
      <c r="B22" s="3">
        <f t="shared" si="0"/>
        <v>-1</v>
      </c>
      <c r="C22">
        <f t="shared" si="1"/>
        <v>135.5</v>
      </c>
      <c r="G22">
        <v>3</v>
      </c>
      <c r="H22">
        <f t="shared" si="2"/>
        <v>-1.51</v>
      </c>
      <c r="I22">
        <f t="shared" si="3"/>
        <v>239.4</v>
      </c>
      <c r="M22">
        <v>3</v>
      </c>
      <c r="N22">
        <f t="shared" si="4"/>
        <v>-0.93</v>
      </c>
      <c r="O22">
        <f t="shared" si="5"/>
        <v>290.3</v>
      </c>
      <c r="S22">
        <v>3</v>
      </c>
      <c r="T22">
        <f t="shared" si="6"/>
        <v>-0.75</v>
      </c>
      <c r="U22">
        <f t="shared" si="7"/>
        <v>83.1</v>
      </c>
      <c r="Y22">
        <v>20</v>
      </c>
      <c r="Z22">
        <v>9.5</v>
      </c>
      <c r="AA22">
        <v>6.2</v>
      </c>
    </row>
    <row r="23" spans="1:27" x14ac:dyDescent="0.3">
      <c r="A23">
        <v>4</v>
      </c>
      <c r="B23" s="3">
        <f t="shared" si="0"/>
        <v>-1.82</v>
      </c>
      <c r="C23">
        <f t="shared" si="1"/>
        <v>136</v>
      </c>
      <c r="G23">
        <v>4</v>
      </c>
      <c r="H23">
        <f t="shared" si="2"/>
        <v>-2.13</v>
      </c>
      <c r="I23">
        <f t="shared" si="3"/>
        <v>250.7</v>
      </c>
      <c r="M23">
        <v>4</v>
      </c>
      <c r="N23">
        <f t="shared" si="4"/>
        <v>-1.68</v>
      </c>
      <c r="O23">
        <f t="shared" si="5"/>
        <v>293.3</v>
      </c>
      <c r="S23">
        <v>4</v>
      </c>
      <c r="T23">
        <f t="shared" si="6"/>
        <v>-1.27</v>
      </c>
      <c r="U23">
        <f t="shared" si="7"/>
        <v>82.9</v>
      </c>
    </row>
    <row r="24" spans="1:27" x14ac:dyDescent="0.3">
      <c r="A24">
        <v>5</v>
      </c>
      <c r="B24" s="3">
        <f t="shared" si="0"/>
        <v>-1.34</v>
      </c>
      <c r="C24">
        <f t="shared" si="1"/>
        <v>133.9</v>
      </c>
      <c r="G24">
        <v>5</v>
      </c>
      <c r="H24">
        <f t="shared" si="2"/>
        <v>-2.35</v>
      </c>
      <c r="I24">
        <f t="shared" si="3"/>
        <v>259.8</v>
      </c>
      <c r="M24">
        <v>5</v>
      </c>
      <c r="N24">
        <f t="shared" si="4"/>
        <v>-2</v>
      </c>
      <c r="O24">
        <f t="shared" si="5"/>
        <v>292.60000000000002</v>
      </c>
      <c r="S24">
        <v>5</v>
      </c>
      <c r="T24">
        <f t="shared" si="6"/>
        <v>-1.83</v>
      </c>
      <c r="U24">
        <f t="shared" si="7"/>
        <v>86.3</v>
      </c>
    </row>
    <row r="25" spans="1:27" x14ac:dyDescent="0.3">
      <c r="A25">
        <v>6</v>
      </c>
      <c r="B25" s="3">
        <f t="shared" si="0"/>
        <v>-2.78</v>
      </c>
      <c r="C25">
        <f t="shared" si="1"/>
        <v>146.5</v>
      </c>
      <c r="G25">
        <v>6</v>
      </c>
      <c r="H25">
        <f t="shared" si="2"/>
        <v>-3.25</v>
      </c>
      <c r="I25">
        <f t="shared" si="3"/>
        <v>259</v>
      </c>
      <c r="M25">
        <v>6</v>
      </c>
      <c r="N25">
        <f t="shared" si="4"/>
        <v>-2.5</v>
      </c>
      <c r="O25">
        <f t="shared" si="5"/>
        <v>292.89999999999998</v>
      </c>
      <c r="S25">
        <v>6</v>
      </c>
      <c r="T25">
        <f t="shared" si="6"/>
        <v>-2.34</v>
      </c>
      <c r="U25">
        <f t="shared" si="7"/>
        <v>84</v>
      </c>
    </row>
    <row r="26" spans="1:27" x14ac:dyDescent="0.3">
      <c r="A26">
        <v>7</v>
      </c>
      <c r="B26" s="3">
        <f t="shared" si="0"/>
        <v>-2.3199999999999998</v>
      </c>
      <c r="C26">
        <f t="shared" si="1"/>
        <v>141.1</v>
      </c>
      <c r="G26">
        <v>7</v>
      </c>
      <c r="H26">
        <f t="shared" si="2"/>
        <v>-3.95</v>
      </c>
      <c r="I26">
        <f t="shared" si="3"/>
        <v>258</v>
      </c>
      <c r="M26">
        <v>7</v>
      </c>
      <c r="N26">
        <f t="shared" si="4"/>
        <v>-2.94</v>
      </c>
      <c r="O26">
        <f t="shared" si="5"/>
        <v>294.2</v>
      </c>
      <c r="S26">
        <v>7</v>
      </c>
      <c r="T26">
        <f t="shared" si="6"/>
        <v>-3.23</v>
      </c>
      <c r="U26">
        <f t="shared" si="7"/>
        <v>86.1</v>
      </c>
    </row>
    <row r="27" spans="1:27" x14ac:dyDescent="0.3">
      <c r="A27">
        <v>8</v>
      </c>
      <c r="B27" s="3">
        <f t="shared" si="0"/>
        <v>-3.19</v>
      </c>
      <c r="C27">
        <f t="shared" si="1"/>
        <v>136.4</v>
      </c>
      <c r="G27">
        <v>8</v>
      </c>
      <c r="H27">
        <f t="shared" si="2"/>
        <v>-4.6100000000000003</v>
      </c>
      <c r="I27">
        <f t="shared" si="3"/>
        <v>260.5</v>
      </c>
      <c r="M27">
        <v>8</v>
      </c>
      <c r="N27">
        <f t="shared" si="4"/>
        <v>-3.43</v>
      </c>
      <c r="O27">
        <f t="shared" si="5"/>
        <v>297.7</v>
      </c>
      <c r="S27">
        <v>8</v>
      </c>
      <c r="T27">
        <f t="shared" si="6"/>
        <v>-2.79</v>
      </c>
      <c r="U27">
        <f t="shared" si="7"/>
        <v>83.7</v>
      </c>
    </row>
    <row r="28" spans="1:27" x14ac:dyDescent="0.3">
      <c r="A28">
        <v>9</v>
      </c>
      <c r="B28" s="3">
        <f t="shared" si="0"/>
        <v>-4.1900000000000004</v>
      </c>
      <c r="C28">
        <f t="shared" si="1"/>
        <v>131.69999999999999</v>
      </c>
      <c r="G28">
        <v>9</v>
      </c>
      <c r="H28">
        <f t="shared" si="2"/>
        <v>-5.1100000000000003</v>
      </c>
      <c r="I28">
        <f t="shared" si="3"/>
        <v>271.3</v>
      </c>
      <c r="M28">
        <v>9</v>
      </c>
      <c r="N28">
        <f t="shared" si="4"/>
        <v>-4.28</v>
      </c>
      <c r="O28">
        <f t="shared" si="5"/>
        <v>294.5</v>
      </c>
      <c r="S28">
        <v>9</v>
      </c>
      <c r="T28">
        <f t="shared" si="6"/>
        <v>-3.92</v>
      </c>
      <c r="U28">
        <f t="shared" si="7"/>
        <v>81.2</v>
      </c>
    </row>
    <row r="29" spans="1:27" x14ac:dyDescent="0.3">
      <c r="A29">
        <v>10</v>
      </c>
      <c r="B29" s="3">
        <f t="shared" si="0"/>
        <v>-5.09</v>
      </c>
      <c r="C29">
        <f t="shared" si="1"/>
        <v>137.19999999999999</v>
      </c>
      <c r="G29">
        <v>10</v>
      </c>
      <c r="H29">
        <f t="shared" si="2"/>
        <v>-0.28999999999999998</v>
      </c>
      <c r="I29">
        <f t="shared" si="3"/>
        <v>195.3</v>
      </c>
      <c r="M29">
        <v>10</v>
      </c>
      <c r="N29">
        <f t="shared" si="4"/>
        <v>-4.7300000000000004</v>
      </c>
      <c r="O29">
        <f t="shared" si="5"/>
        <v>292</v>
      </c>
      <c r="S29">
        <v>10</v>
      </c>
      <c r="T29">
        <f t="shared" si="6"/>
        <v>-4.55</v>
      </c>
      <c r="U29">
        <f t="shared" si="7"/>
        <v>84.8</v>
      </c>
    </row>
    <row r="30" spans="1:27" x14ac:dyDescent="0.3">
      <c r="A30">
        <v>11</v>
      </c>
      <c r="B30" s="3">
        <f t="shared" si="0"/>
        <v>-5.6</v>
      </c>
      <c r="C30">
        <f t="shared" si="1"/>
        <v>137.4</v>
      </c>
      <c r="G30">
        <v>11</v>
      </c>
      <c r="M30">
        <v>11</v>
      </c>
      <c r="N30">
        <f t="shared" si="4"/>
        <v>-5.32</v>
      </c>
      <c r="O30">
        <f t="shared" si="5"/>
        <v>291.3</v>
      </c>
      <c r="S30">
        <v>11</v>
      </c>
      <c r="T30">
        <f t="shared" si="6"/>
        <v>-5.13</v>
      </c>
      <c r="U30">
        <f t="shared" si="7"/>
        <v>87.3</v>
      </c>
    </row>
    <row r="31" spans="1:27" x14ac:dyDescent="0.3">
      <c r="A31">
        <v>12</v>
      </c>
      <c r="B31" s="3">
        <f t="shared" si="0"/>
        <v>-5.8</v>
      </c>
      <c r="C31">
        <f t="shared" si="1"/>
        <v>138</v>
      </c>
      <c r="G31">
        <v>12</v>
      </c>
      <c r="H31">
        <f t="shared" ref="H31:H39" si="8">J4</f>
        <v>0.88</v>
      </c>
      <c r="I31">
        <f t="shared" ref="I31:I39" si="9">K4</f>
        <v>224.4</v>
      </c>
      <c r="M31">
        <v>12</v>
      </c>
      <c r="N31">
        <f t="shared" si="4"/>
        <v>-5.59</v>
      </c>
      <c r="O31">
        <f t="shared" si="5"/>
        <v>292.3</v>
      </c>
      <c r="S31">
        <v>12</v>
      </c>
      <c r="T31">
        <f t="shared" si="6"/>
        <v>-5.48</v>
      </c>
      <c r="U31">
        <f t="shared" si="7"/>
        <v>84</v>
      </c>
    </row>
    <row r="32" spans="1:27" x14ac:dyDescent="0.3">
      <c r="A32">
        <v>13</v>
      </c>
      <c r="B32" s="3">
        <f>D3</f>
        <v>0</v>
      </c>
      <c r="C32">
        <f>E3</f>
        <v>128.9</v>
      </c>
      <c r="G32">
        <v>13</v>
      </c>
      <c r="H32">
        <f t="shared" si="8"/>
        <v>1.64</v>
      </c>
      <c r="I32">
        <f t="shared" si="9"/>
        <v>250.4</v>
      </c>
      <c r="M32">
        <v>13</v>
      </c>
      <c r="N32">
        <f>P3</f>
        <v>0</v>
      </c>
      <c r="O32" s="4">
        <f>Q3</f>
        <v>284.5</v>
      </c>
      <c r="S32">
        <v>13</v>
      </c>
      <c r="T32">
        <f t="shared" si="6"/>
        <v>-5.71</v>
      </c>
      <c r="U32">
        <f t="shared" si="7"/>
        <v>79.5</v>
      </c>
    </row>
    <row r="33" spans="1:21" x14ac:dyDescent="0.3">
      <c r="A33">
        <v>14</v>
      </c>
      <c r="B33" s="3">
        <f t="shared" ref="B33:B43" si="10">D4</f>
        <v>0.44</v>
      </c>
      <c r="C33">
        <f t="shared" ref="C33:C43" si="11">E4</f>
        <v>144.19999999999999</v>
      </c>
      <c r="G33">
        <v>14</v>
      </c>
      <c r="H33">
        <f t="shared" si="8"/>
        <v>2.29</v>
      </c>
      <c r="I33">
        <f t="shared" si="9"/>
        <v>262</v>
      </c>
      <c r="M33">
        <v>14</v>
      </c>
      <c r="N33">
        <f t="shared" ref="N33:N43" si="12">P4</f>
        <v>0.32</v>
      </c>
      <c r="O33" s="4">
        <f t="shared" ref="O33:O43" si="13">Q4</f>
        <v>302.10000000000002</v>
      </c>
      <c r="S33">
        <v>14</v>
      </c>
    </row>
    <row r="34" spans="1:21" x14ac:dyDescent="0.3">
      <c r="A34">
        <v>15</v>
      </c>
      <c r="B34" s="3">
        <f t="shared" si="10"/>
        <v>1.0900000000000001</v>
      </c>
      <c r="C34">
        <f t="shared" si="11"/>
        <v>136.80000000000001</v>
      </c>
      <c r="G34">
        <v>15</v>
      </c>
      <c r="H34">
        <f t="shared" si="8"/>
        <v>2.5</v>
      </c>
      <c r="I34">
        <f t="shared" si="9"/>
        <v>263</v>
      </c>
      <c r="M34">
        <v>15</v>
      </c>
      <c r="N34">
        <f t="shared" si="12"/>
        <v>1.01</v>
      </c>
      <c r="O34" s="4">
        <f t="shared" si="13"/>
        <v>295.5</v>
      </c>
      <c r="S34">
        <v>15</v>
      </c>
      <c r="T34">
        <f t="shared" ref="T34:T45" si="14">V4</f>
        <v>0.45</v>
      </c>
      <c r="U34">
        <f t="shared" ref="U34:U45" si="15">W4</f>
        <v>85.1</v>
      </c>
    </row>
    <row r="35" spans="1:21" x14ac:dyDescent="0.3">
      <c r="A35">
        <v>16</v>
      </c>
      <c r="B35" s="3">
        <f t="shared" si="10"/>
        <v>1.97</v>
      </c>
      <c r="C35">
        <f t="shared" si="11"/>
        <v>133.19999999999999</v>
      </c>
      <c r="G35">
        <v>16</v>
      </c>
      <c r="H35">
        <f t="shared" si="8"/>
        <v>3.46</v>
      </c>
      <c r="I35">
        <f t="shared" si="9"/>
        <v>263.2</v>
      </c>
      <c r="M35">
        <v>16</v>
      </c>
      <c r="N35">
        <f t="shared" si="12"/>
        <v>1.79</v>
      </c>
      <c r="O35" s="4">
        <f t="shared" si="13"/>
        <v>292.39999999999998</v>
      </c>
      <c r="S35">
        <v>16</v>
      </c>
      <c r="T35">
        <f t="shared" si="14"/>
        <v>0.8</v>
      </c>
      <c r="U35">
        <f t="shared" si="15"/>
        <v>82.3</v>
      </c>
    </row>
    <row r="36" spans="1:21" x14ac:dyDescent="0.3">
      <c r="A36">
        <v>17</v>
      </c>
      <c r="B36" s="3">
        <f t="shared" si="10"/>
        <v>1.44</v>
      </c>
      <c r="C36">
        <f t="shared" si="11"/>
        <v>137</v>
      </c>
      <c r="G36">
        <v>17</v>
      </c>
      <c r="H36">
        <f t="shared" si="8"/>
        <v>4.2</v>
      </c>
      <c r="I36">
        <f t="shared" si="9"/>
        <v>270.39999999999998</v>
      </c>
      <c r="M36">
        <v>17</v>
      </c>
      <c r="N36">
        <f t="shared" si="12"/>
        <v>2.14</v>
      </c>
      <c r="O36" s="4">
        <f t="shared" si="13"/>
        <v>274.7</v>
      </c>
      <c r="S36">
        <v>17</v>
      </c>
      <c r="T36">
        <f t="shared" si="14"/>
        <v>1.37</v>
      </c>
      <c r="U36">
        <f t="shared" si="15"/>
        <v>85.7</v>
      </c>
    </row>
    <row r="37" spans="1:21" x14ac:dyDescent="0.3">
      <c r="A37">
        <v>18</v>
      </c>
      <c r="B37" s="3">
        <f t="shared" si="10"/>
        <v>2.94</v>
      </c>
      <c r="C37">
        <f t="shared" si="11"/>
        <v>123.4</v>
      </c>
      <c r="G37">
        <v>18</v>
      </c>
      <c r="H37">
        <f t="shared" si="8"/>
        <v>4.8899999999999997</v>
      </c>
      <c r="I37">
        <f t="shared" si="9"/>
        <v>267.3</v>
      </c>
      <c r="M37">
        <v>18</v>
      </c>
      <c r="N37">
        <f t="shared" si="12"/>
        <v>2.68</v>
      </c>
      <c r="O37" s="4">
        <f t="shared" si="13"/>
        <v>264</v>
      </c>
      <c r="S37">
        <v>18</v>
      </c>
      <c r="T37">
        <f t="shared" si="14"/>
        <v>1.95</v>
      </c>
      <c r="U37">
        <f t="shared" si="15"/>
        <v>82.9</v>
      </c>
    </row>
    <row r="38" spans="1:21" x14ac:dyDescent="0.3">
      <c r="A38">
        <v>19</v>
      </c>
      <c r="B38" s="3">
        <f t="shared" si="10"/>
        <v>2.48</v>
      </c>
      <c r="C38">
        <f t="shared" si="11"/>
        <v>117.4</v>
      </c>
      <c r="G38">
        <v>19</v>
      </c>
      <c r="H38">
        <f t="shared" si="8"/>
        <v>5.43</v>
      </c>
      <c r="I38">
        <f t="shared" si="9"/>
        <v>266.39999999999998</v>
      </c>
      <c r="M38">
        <v>19</v>
      </c>
      <c r="N38">
        <f t="shared" si="12"/>
        <v>3.11</v>
      </c>
      <c r="O38" s="4">
        <f t="shared" si="13"/>
        <v>275.8</v>
      </c>
      <c r="S38">
        <v>19</v>
      </c>
      <c r="T38">
        <f t="shared" si="14"/>
        <v>2.4900000000000002</v>
      </c>
      <c r="U38">
        <f t="shared" si="15"/>
        <v>72.900000000000006</v>
      </c>
    </row>
    <row r="39" spans="1:21" x14ac:dyDescent="0.3">
      <c r="A39">
        <v>20</v>
      </c>
      <c r="B39" s="3">
        <f t="shared" si="10"/>
        <v>3.38</v>
      </c>
      <c r="C39">
        <f t="shared" si="11"/>
        <v>134</v>
      </c>
      <c r="G39">
        <v>20</v>
      </c>
      <c r="H39">
        <f t="shared" si="8"/>
        <v>0.34</v>
      </c>
      <c r="I39">
        <f t="shared" si="9"/>
        <v>199.9</v>
      </c>
      <c r="M39">
        <v>20</v>
      </c>
      <c r="N39">
        <f t="shared" si="12"/>
        <v>3.66</v>
      </c>
      <c r="O39" s="4">
        <f t="shared" si="13"/>
        <v>296.60000000000002</v>
      </c>
      <c r="S39">
        <v>20</v>
      </c>
      <c r="T39">
        <f t="shared" si="14"/>
        <v>3.44</v>
      </c>
      <c r="U39">
        <f t="shared" si="15"/>
        <v>83.6</v>
      </c>
    </row>
    <row r="40" spans="1:21" x14ac:dyDescent="0.3">
      <c r="A40">
        <v>21</v>
      </c>
      <c r="B40" s="3">
        <f t="shared" si="10"/>
        <v>4.46</v>
      </c>
      <c r="C40">
        <f t="shared" si="11"/>
        <v>138.1</v>
      </c>
      <c r="M40">
        <v>21</v>
      </c>
      <c r="N40">
        <f t="shared" si="12"/>
        <v>4.54</v>
      </c>
      <c r="O40" s="4">
        <f t="shared" si="13"/>
        <v>299.5</v>
      </c>
      <c r="S40">
        <v>21</v>
      </c>
      <c r="T40">
        <f t="shared" si="14"/>
        <v>2.96</v>
      </c>
      <c r="U40">
        <f t="shared" si="15"/>
        <v>81.7</v>
      </c>
    </row>
    <row r="41" spans="1:21" x14ac:dyDescent="0.3">
      <c r="A41">
        <v>22</v>
      </c>
      <c r="B41" s="3">
        <f t="shared" si="10"/>
        <v>5.42</v>
      </c>
      <c r="C41">
        <f t="shared" si="11"/>
        <v>141.4</v>
      </c>
      <c r="M41">
        <v>22</v>
      </c>
      <c r="N41">
        <f t="shared" si="12"/>
        <v>5.04</v>
      </c>
      <c r="O41" s="4">
        <f t="shared" si="13"/>
        <v>292.60000000000002</v>
      </c>
      <c r="S41">
        <v>22</v>
      </c>
      <c r="T41">
        <f t="shared" si="14"/>
        <v>4.17</v>
      </c>
      <c r="U41">
        <f t="shared" si="15"/>
        <v>88.8</v>
      </c>
    </row>
    <row r="42" spans="1:21" x14ac:dyDescent="0.3">
      <c r="A42">
        <v>23</v>
      </c>
      <c r="B42" s="3">
        <f t="shared" si="10"/>
        <v>5.98</v>
      </c>
      <c r="C42">
        <f t="shared" si="11"/>
        <v>139.19999999999999</v>
      </c>
      <c r="M42">
        <v>23</v>
      </c>
      <c r="N42">
        <f t="shared" si="12"/>
        <v>5.66</v>
      </c>
      <c r="O42" s="4">
        <f t="shared" si="13"/>
        <v>299.60000000000002</v>
      </c>
      <c r="S42">
        <v>23</v>
      </c>
      <c r="T42">
        <f t="shared" si="14"/>
        <v>4.82</v>
      </c>
      <c r="U42">
        <f t="shared" si="15"/>
        <v>87.7</v>
      </c>
    </row>
    <row r="43" spans="1:21" x14ac:dyDescent="0.3">
      <c r="A43">
        <v>24</v>
      </c>
      <c r="B43" s="3">
        <f t="shared" si="10"/>
        <v>6.18</v>
      </c>
      <c r="C43">
        <f t="shared" si="11"/>
        <v>140.19999999999999</v>
      </c>
      <c r="M43">
        <v>24</v>
      </c>
      <c r="N43">
        <f t="shared" si="12"/>
        <v>5.98</v>
      </c>
      <c r="O43" s="4">
        <f t="shared" si="13"/>
        <v>304.5</v>
      </c>
      <c r="S43">
        <v>24</v>
      </c>
      <c r="T43">
        <f t="shared" si="14"/>
        <v>5.45</v>
      </c>
      <c r="U43">
        <f t="shared" si="15"/>
        <v>89.1</v>
      </c>
    </row>
    <row r="44" spans="1:21" x14ac:dyDescent="0.3">
      <c r="S44">
        <v>25</v>
      </c>
      <c r="T44">
        <f t="shared" si="14"/>
        <v>5.84</v>
      </c>
      <c r="U44">
        <f t="shared" si="15"/>
        <v>83.8</v>
      </c>
    </row>
    <row r="45" spans="1:21" x14ac:dyDescent="0.3">
      <c r="S45">
        <v>26</v>
      </c>
      <c r="T45">
        <f t="shared" si="14"/>
        <v>6.11</v>
      </c>
      <c r="U45">
        <f t="shared" si="15"/>
        <v>84.6</v>
      </c>
    </row>
    <row r="103" spans="10:24" x14ac:dyDescent="0.3">
      <c r="J103">
        <v>4</v>
      </c>
      <c r="K103" t="s">
        <v>1</v>
      </c>
      <c r="L103">
        <v>1</v>
      </c>
      <c r="M103">
        <v>2</v>
      </c>
      <c r="N103">
        <v>3</v>
      </c>
      <c r="O103">
        <v>4</v>
      </c>
      <c r="P103">
        <v>5</v>
      </c>
      <c r="Q103">
        <v>6</v>
      </c>
      <c r="R103">
        <v>7</v>
      </c>
      <c r="S103">
        <v>8</v>
      </c>
      <c r="T103">
        <v>9</v>
      </c>
      <c r="U103">
        <v>10</v>
      </c>
    </row>
    <row r="104" spans="10:24" x14ac:dyDescent="0.3">
      <c r="K104" t="s">
        <v>2</v>
      </c>
      <c r="L104">
        <v>0</v>
      </c>
      <c r="M104">
        <v>0.79</v>
      </c>
      <c r="N104">
        <v>1.51</v>
      </c>
      <c r="O104">
        <v>2.13</v>
      </c>
      <c r="P104">
        <v>2.35</v>
      </c>
      <c r="Q104">
        <v>3.25</v>
      </c>
      <c r="R104">
        <v>3.95</v>
      </c>
      <c r="S104">
        <v>4.6100000000000003</v>
      </c>
      <c r="T104">
        <v>5.1100000000000003</v>
      </c>
      <c r="U104">
        <v>0.28999999999999998</v>
      </c>
    </row>
    <row r="105" spans="10:24" x14ac:dyDescent="0.3">
      <c r="K105" t="s">
        <v>3</v>
      </c>
      <c r="L105">
        <v>3474.4</v>
      </c>
      <c r="M105">
        <v>222</v>
      </c>
      <c r="N105">
        <v>239.4</v>
      </c>
      <c r="O105">
        <v>250.7</v>
      </c>
      <c r="P105">
        <v>259.8</v>
      </c>
      <c r="Q105">
        <v>259</v>
      </c>
      <c r="R105">
        <v>258</v>
      </c>
      <c r="S105">
        <v>260.5</v>
      </c>
      <c r="T105">
        <v>271.3</v>
      </c>
      <c r="U105">
        <v>195.3</v>
      </c>
    </row>
    <row r="106" spans="10:24" x14ac:dyDescent="0.3">
      <c r="K106" t="s">
        <v>4</v>
      </c>
      <c r="L106">
        <v>0</v>
      </c>
      <c r="M106">
        <v>0.88</v>
      </c>
      <c r="N106">
        <v>1.64</v>
      </c>
      <c r="O106">
        <v>2.29</v>
      </c>
      <c r="P106">
        <v>2.5</v>
      </c>
      <c r="Q106">
        <v>3.46</v>
      </c>
      <c r="R106">
        <v>4.2</v>
      </c>
      <c r="S106">
        <v>4.8899999999999997</v>
      </c>
      <c r="T106">
        <v>5.43</v>
      </c>
      <c r="U106">
        <v>0.34</v>
      </c>
    </row>
    <row r="107" spans="10:24" x14ac:dyDescent="0.3">
      <c r="K107" t="s">
        <v>5</v>
      </c>
      <c r="L107">
        <v>3474.4</v>
      </c>
      <c r="M107">
        <v>224.4</v>
      </c>
      <c r="N107">
        <v>250.4</v>
      </c>
      <c r="O107">
        <v>262</v>
      </c>
      <c r="P107">
        <v>263</v>
      </c>
      <c r="Q107">
        <v>263.2</v>
      </c>
      <c r="R107">
        <v>270.39999999999998</v>
      </c>
      <c r="S107">
        <v>267.3</v>
      </c>
      <c r="T107">
        <v>266.39999999999998</v>
      </c>
      <c r="U107">
        <v>199.9</v>
      </c>
    </row>
    <row r="111" spans="10:24" x14ac:dyDescent="0.3">
      <c r="J111">
        <v>2</v>
      </c>
      <c r="L111" t="s">
        <v>1</v>
      </c>
      <c r="M111">
        <v>1</v>
      </c>
      <c r="N111">
        <v>2</v>
      </c>
      <c r="O111">
        <v>3</v>
      </c>
      <c r="P111">
        <v>4</v>
      </c>
      <c r="Q111">
        <v>5</v>
      </c>
      <c r="R111">
        <v>6</v>
      </c>
      <c r="S111">
        <v>7</v>
      </c>
      <c r="T111">
        <v>8</v>
      </c>
      <c r="U111">
        <v>9</v>
      </c>
      <c r="V111">
        <v>10</v>
      </c>
      <c r="W111">
        <v>11</v>
      </c>
      <c r="X111">
        <v>12</v>
      </c>
    </row>
    <row r="112" spans="10:24" x14ac:dyDescent="0.3">
      <c r="L112" t="s">
        <v>2</v>
      </c>
      <c r="M112">
        <v>0</v>
      </c>
      <c r="N112">
        <v>0.23</v>
      </c>
      <c r="O112">
        <v>0.93</v>
      </c>
      <c r="P112">
        <v>1.68</v>
      </c>
      <c r="Q112">
        <v>2</v>
      </c>
      <c r="R112">
        <v>2.5</v>
      </c>
      <c r="S112">
        <v>2.94</v>
      </c>
      <c r="T112">
        <v>3.43</v>
      </c>
      <c r="U112">
        <v>4.28</v>
      </c>
      <c r="V112">
        <v>4.7300000000000004</v>
      </c>
      <c r="W112">
        <v>5.32</v>
      </c>
      <c r="X112">
        <v>5.59</v>
      </c>
    </row>
    <row r="113" spans="10:25" x14ac:dyDescent="0.3">
      <c r="L113" t="s">
        <v>3</v>
      </c>
      <c r="M113">
        <v>284.5</v>
      </c>
      <c r="N113">
        <v>282.8</v>
      </c>
      <c r="O113">
        <v>290.3</v>
      </c>
      <c r="P113">
        <v>293.3</v>
      </c>
      <c r="Q113">
        <v>292.60000000000002</v>
      </c>
      <c r="R113">
        <v>292.89999999999998</v>
      </c>
      <c r="S113">
        <v>294.2</v>
      </c>
      <c r="T113">
        <v>297.7</v>
      </c>
      <c r="U113">
        <v>294.5</v>
      </c>
      <c r="V113">
        <v>292</v>
      </c>
      <c r="W113">
        <v>291.3</v>
      </c>
      <c r="X113">
        <v>292.3</v>
      </c>
    </row>
    <row r="114" spans="10:25" x14ac:dyDescent="0.3">
      <c r="L114" t="s">
        <v>4</v>
      </c>
      <c r="M114">
        <v>0</v>
      </c>
      <c r="N114">
        <v>0.32</v>
      </c>
      <c r="O114">
        <v>1.01</v>
      </c>
      <c r="P114">
        <v>1.79</v>
      </c>
      <c r="Q114">
        <v>2.14</v>
      </c>
      <c r="R114">
        <v>2.68</v>
      </c>
      <c r="S114">
        <v>3.11</v>
      </c>
      <c r="T114">
        <v>3.66</v>
      </c>
      <c r="U114">
        <v>4.54</v>
      </c>
      <c r="V114">
        <v>5.04</v>
      </c>
      <c r="W114">
        <v>5.66</v>
      </c>
      <c r="X114">
        <v>5.98</v>
      </c>
    </row>
    <row r="115" spans="10:25" x14ac:dyDescent="0.3">
      <c r="L115" t="s">
        <v>5</v>
      </c>
      <c r="M115" s="4">
        <v>284.5</v>
      </c>
      <c r="N115" s="4">
        <v>302.10000000000002</v>
      </c>
      <c r="O115" s="4">
        <v>295.5</v>
      </c>
      <c r="P115" s="4">
        <v>292.39999999999998</v>
      </c>
      <c r="Q115" s="4">
        <v>274.7</v>
      </c>
      <c r="R115" s="4">
        <v>264</v>
      </c>
      <c r="S115" s="4">
        <v>275.8</v>
      </c>
      <c r="T115" s="4">
        <v>296.60000000000002</v>
      </c>
      <c r="U115" s="4">
        <v>299.5</v>
      </c>
      <c r="V115" s="4">
        <v>292.60000000000002</v>
      </c>
      <c r="W115" s="4">
        <v>299.60000000000002</v>
      </c>
      <c r="X115" s="4">
        <v>304.5</v>
      </c>
    </row>
    <row r="118" spans="10:25" x14ac:dyDescent="0.3">
      <c r="J118">
        <v>1</v>
      </c>
      <c r="L118" t="s">
        <v>1</v>
      </c>
      <c r="M118">
        <v>1</v>
      </c>
      <c r="N118">
        <v>2</v>
      </c>
      <c r="O118">
        <v>3</v>
      </c>
      <c r="P118">
        <v>4</v>
      </c>
      <c r="Q118">
        <v>5</v>
      </c>
      <c r="R118">
        <v>6</v>
      </c>
      <c r="S118">
        <v>7</v>
      </c>
      <c r="T118">
        <v>8</v>
      </c>
      <c r="U118">
        <v>9</v>
      </c>
      <c r="V118">
        <v>10</v>
      </c>
      <c r="W118">
        <v>11</v>
      </c>
      <c r="X118">
        <v>12</v>
      </c>
    </row>
    <row r="119" spans="10:25" x14ac:dyDescent="0.3">
      <c r="L119" t="s">
        <v>2</v>
      </c>
      <c r="M119">
        <v>0</v>
      </c>
      <c r="N119">
        <v>0.4</v>
      </c>
      <c r="O119">
        <v>1</v>
      </c>
      <c r="P119">
        <v>1.82</v>
      </c>
      <c r="Q119">
        <v>1.34</v>
      </c>
      <c r="R119">
        <v>2.78</v>
      </c>
      <c r="S119">
        <v>2.3199999999999998</v>
      </c>
      <c r="T119">
        <v>3.19</v>
      </c>
      <c r="U119">
        <v>4.1900000000000004</v>
      </c>
      <c r="V119">
        <v>5.09</v>
      </c>
      <c r="W119">
        <v>5.6</v>
      </c>
      <c r="X119">
        <v>5.8</v>
      </c>
    </row>
    <row r="120" spans="10:25" x14ac:dyDescent="0.3">
      <c r="L120" t="s">
        <v>3</v>
      </c>
      <c r="M120">
        <v>128.9</v>
      </c>
      <c r="N120">
        <v>136.19999999999999</v>
      </c>
      <c r="O120">
        <v>135.5</v>
      </c>
      <c r="P120">
        <v>136</v>
      </c>
      <c r="Q120">
        <v>133.9</v>
      </c>
      <c r="R120">
        <v>146.5</v>
      </c>
      <c r="S120">
        <v>141.1</v>
      </c>
      <c r="T120">
        <v>136.4</v>
      </c>
      <c r="U120">
        <v>131.69999999999999</v>
      </c>
      <c r="V120">
        <v>137.19999999999999</v>
      </c>
      <c r="W120">
        <v>137.4</v>
      </c>
      <c r="X120">
        <v>138</v>
      </c>
    </row>
    <row r="121" spans="10:25" x14ac:dyDescent="0.3">
      <c r="L121" t="s">
        <v>4</v>
      </c>
      <c r="M121">
        <v>0</v>
      </c>
      <c r="N121">
        <v>0.44</v>
      </c>
      <c r="O121">
        <v>1.0900000000000001</v>
      </c>
      <c r="P121">
        <v>1.97</v>
      </c>
      <c r="Q121">
        <v>1.44</v>
      </c>
      <c r="R121">
        <v>2.94</v>
      </c>
      <c r="S121">
        <v>2.48</v>
      </c>
      <c r="T121">
        <v>3.38</v>
      </c>
      <c r="U121">
        <v>4.46</v>
      </c>
      <c r="V121">
        <v>5.42</v>
      </c>
      <c r="W121">
        <v>5.98</v>
      </c>
      <c r="X121">
        <v>6.18</v>
      </c>
    </row>
    <row r="122" spans="10:25" x14ac:dyDescent="0.3">
      <c r="L122" t="s">
        <v>5</v>
      </c>
      <c r="M122">
        <v>128.9</v>
      </c>
      <c r="N122">
        <v>144.19999999999999</v>
      </c>
      <c r="O122">
        <v>136.80000000000001</v>
      </c>
      <c r="P122">
        <v>133.19999999999999</v>
      </c>
      <c r="Q122">
        <v>137</v>
      </c>
      <c r="R122">
        <v>123.4</v>
      </c>
      <c r="S122">
        <v>117.4</v>
      </c>
      <c r="T122">
        <v>134</v>
      </c>
      <c r="U122">
        <v>138.1</v>
      </c>
      <c r="V122">
        <v>141.4</v>
      </c>
      <c r="W122">
        <v>139.19999999999999</v>
      </c>
      <c r="X122">
        <v>140.19999999999999</v>
      </c>
    </row>
    <row r="124" spans="10:25" x14ac:dyDescent="0.3">
      <c r="J124">
        <v>3</v>
      </c>
      <c r="L124" t="s">
        <v>1</v>
      </c>
      <c r="M124">
        <v>1</v>
      </c>
      <c r="N124">
        <v>2</v>
      </c>
      <c r="O124">
        <v>3</v>
      </c>
      <c r="P124">
        <v>4</v>
      </c>
      <c r="Q124">
        <v>5</v>
      </c>
      <c r="R124">
        <v>6</v>
      </c>
      <c r="S124">
        <v>7</v>
      </c>
      <c r="T124">
        <v>8</v>
      </c>
      <c r="U124">
        <v>9</v>
      </c>
      <c r="V124">
        <v>10</v>
      </c>
      <c r="W124">
        <v>11</v>
      </c>
      <c r="X124">
        <v>12</v>
      </c>
      <c r="Y124">
        <v>13</v>
      </c>
    </row>
    <row r="125" spans="10:25" x14ac:dyDescent="0.3">
      <c r="L125" t="s">
        <v>2</v>
      </c>
      <c r="M125">
        <v>0</v>
      </c>
      <c r="N125">
        <v>0.3</v>
      </c>
      <c r="O125">
        <v>0.75</v>
      </c>
      <c r="P125">
        <v>1.27</v>
      </c>
      <c r="Q125">
        <v>1.83</v>
      </c>
      <c r="R125">
        <v>2.34</v>
      </c>
      <c r="S125">
        <v>3.23</v>
      </c>
      <c r="T125">
        <v>2.79</v>
      </c>
      <c r="U125">
        <v>3.92</v>
      </c>
      <c r="V125">
        <v>4.55</v>
      </c>
      <c r="W125">
        <v>5.13</v>
      </c>
      <c r="X125">
        <v>5.48</v>
      </c>
      <c r="Y125">
        <v>5.71</v>
      </c>
    </row>
    <row r="126" spans="10:25" x14ac:dyDescent="0.3">
      <c r="L126" t="s">
        <v>3</v>
      </c>
      <c r="M126">
        <v>95</v>
      </c>
      <c r="N126">
        <v>77.099999999999994</v>
      </c>
      <c r="O126">
        <v>83.1</v>
      </c>
      <c r="P126">
        <v>82.9</v>
      </c>
      <c r="Q126">
        <v>86.3</v>
      </c>
      <c r="R126">
        <v>84</v>
      </c>
      <c r="S126">
        <v>86.1</v>
      </c>
      <c r="T126">
        <v>83.7</v>
      </c>
      <c r="U126">
        <v>81.2</v>
      </c>
      <c r="V126">
        <v>84.8</v>
      </c>
      <c r="W126">
        <v>87.3</v>
      </c>
      <c r="X126">
        <v>84</v>
      </c>
      <c r="Y126">
        <v>79.5</v>
      </c>
    </row>
    <row r="127" spans="10:25" x14ac:dyDescent="0.3">
      <c r="L127" t="s">
        <v>4</v>
      </c>
      <c r="M127">
        <v>0</v>
      </c>
      <c r="N127">
        <v>0.45</v>
      </c>
      <c r="O127">
        <v>0.8</v>
      </c>
      <c r="P127">
        <v>1.37</v>
      </c>
      <c r="Q127">
        <v>1.95</v>
      </c>
      <c r="R127">
        <v>2.4900000000000002</v>
      </c>
      <c r="S127">
        <v>3.44</v>
      </c>
      <c r="T127">
        <v>2.96</v>
      </c>
      <c r="U127">
        <v>4.17</v>
      </c>
      <c r="V127">
        <v>4.82</v>
      </c>
      <c r="W127">
        <v>5.45</v>
      </c>
      <c r="X127">
        <v>5.84</v>
      </c>
      <c r="Y127">
        <v>6.11</v>
      </c>
    </row>
    <row r="128" spans="10:25" x14ac:dyDescent="0.3">
      <c r="L128" t="s">
        <v>5</v>
      </c>
      <c r="M128">
        <v>95</v>
      </c>
      <c r="N128">
        <v>85.1</v>
      </c>
      <c r="O128">
        <v>82.3</v>
      </c>
      <c r="P128">
        <v>85.7</v>
      </c>
      <c r="Q128">
        <v>82.9</v>
      </c>
      <c r="R128">
        <v>72.900000000000006</v>
      </c>
      <c r="S128">
        <v>83.6</v>
      </c>
      <c r="T128">
        <v>81.7</v>
      </c>
      <c r="U128">
        <v>88.8</v>
      </c>
      <c r="V128">
        <v>87.7</v>
      </c>
      <c r="W128">
        <v>89.1</v>
      </c>
      <c r="X128">
        <v>83.8</v>
      </c>
      <c r="Y128">
        <v>84.6</v>
      </c>
    </row>
    <row r="134" spans="14:18" x14ac:dyDescent="0.3">
      <c r="N134" t="s">
        <v>21</v>
      </c>
      <c r="O134">
        <v>1</v>
      </c>
      <c r="P134">
        <v>2</v>
      </c>
      <c r="Q134">
        <v>3</v>
      </c>
      <c r="R134">
        <v>4</v>
      </c>
    </row>
    <row r="135" spans="14:18" x14ac:dyDescent="0.3">
      <c r="N135" t="s">
        <v>22</v>
      </c>
      <c r="O135" t="s">
        <v>23</v>
      </c>
      <c r="P135" t="s">
        <v>24</v>
      </c>
      <c r="Q135" t="s">
        <v>25</v>
      </c>
      <c r="R135" t="s">
        <v>26</v>
      </c>
    </row>
    <row r="136" spans="14:18" x14ac:dyDescent="0.3">
      <c r="N136" t="s">
        <v>31</v>
      </c>
      <c r="O136" t="s">
        <v>27</v>
      </c>
      <c r="P136" t="s">
        <v>28</v>
      </c>
      <c r="Q136" t="s">
        <v>29</v>
      </c>
      <c r="R136" t="s">
        <v>30</v>
      </c>
    </row>
    <row r="137" spans="14:18" x14ac:dyDescent="0.3">
      <c r="N137" t="s">
        <v>33</v>
      </c>
      <c r="O137" s="3">
        <f>O141*23.8/30</f>
        <v>1.9674666666666667</v>
      </c>
      <c r="P137" s="3">
        <f t="shared" ref="P137:R137" si="16">P141*23.8/30</f>
        <v>2.0468000000000002</v>
      </c>
      <c r="Q137" s="3">
        <f t="shared" si="16"/>
        <v>1.9754000000000003</v>
      </c>
      <c r="R137" s="3">
        <f t="shared" si="16"/>
        <v>3.966666666666667E-2</v>
      </c>
    </row>
    <row r="138" spans="14:18" x14ac:dyDescent="0.3">
      <c r="N138" t="s">
        <v>32</v>
      </c>
      <c r="O138">
        <v>0.26</v>
      </c>
      <c r="P138">
        <v>0.44</v>
      </c>
      <c r="Q138">
        <v>0.6</v>
      </c>
      <c r="R138">
        <v>1.01</v>
      </c>
    </row>
    <row r="139" spans="14:18" x14ac:dyDescent="0.3">
      <c r="N139" t="s">
        <v>34</v>
      </c>
      <c r="O139" s="3">
        <f>O138*238/30</f>
        <v>2.0626666666666669</v>
      </c>
      <c r="P139" s="3">
        <f t="shared" ref="P139:R139" si="17">P138*238/30</f>
        <v>3.4906666666666668</v>
      </c>
      <c r="Q139" s="3">
        <f t="shared" si="17"/>
        <v>4.76</v>
      </c>
      <c r="R139" s="3">
        <f t="shared" si="17"/>
        <v>8.0126666666666662</v>
      </c>
    </row>
    <row r="141" spans="14:18" x14ac:dyDescent="0.3">
      <c r="O141">
        <v>2.48</v>
      </c>
      <c r="P141">
        <v>2.58</v>
      </c>
      <c r="Q141">
        <v>2.4900000000000002</v>
      </c>
      <c r="R141">
        <v>0.05</v>
      </c>
    </row>
  </sheetData>
  <mergeCells count="9">
    <mergeCell ref="Y1:AA1"/>
    <mergeCell ref="A18:C18"/>
    <mergeCell ref="G18:I18"/>
    <mergeCell ref="M18:O18"/>
    <mergeCell ref="S18:U18"/>
    <mergeCell ref="A1:E1"/>
    <mergeCell ref="G1:K1"/>
    <mergeCell ref="M1:Q1"/>
    <mergeCell ref="S1:W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2018-11-09T10:48:46Z</dcterms:modified>
</cp:coreProperties>
</file>