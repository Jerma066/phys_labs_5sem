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BH32" i="1" l="1"/>
  <c r="BH33" i="1"/>
  <c r="BH34" i="1"/>
  <c r="BH35" i="1"/>
  <c r="BH38" i="1"/>
  <c r="BH39" i="1"/>
  <c r="BH36" i="1"/>
  <c r="BK35" i="1"/>
  <c r="BL35" i="1"/>
  <c r="BM35" i="1"/>
  <c r="BN35" i="1"/>
  <c r="BJ35" i="1"/>
  <c r="BN33" i="1"/>
  <c r="BN36" i="1"/>
  <c r="BN38" i="1"/>
  <c r="BN39" i="1"/>
  <c r="BM33" i="1"/>
  <c r="BM36" i="1"/>
  <c r="BM38" i="1"/>
  <c r="BM39" i="1"/>
  <c r="BL33" i="1"/>
  <c r="BL36" i="1"/>
  <c r="BL38" i="1"/>
  <c r="BL39" i="1"/>
  <c r="BK33" i="1"/>
  <c r="BK36" i="1"/>
  <c r="BK38" i="1"/>
  <c r="BK39" i="1"/>
  <c r="BE38" i="1"/>
  <c r="BJ38" i="1" s="1"/>
  <c r="BJ33" i="1"/>
  <c r="BJ36" i="1"/>
  <c r="BJ39" i="1"/>
  <c r="BK32" i="1"/>
  <c r="BL32" i="1"/>
  <c r="BM32" i="1"/>
  <c r="BN32" i="1"/>
  <c r="BJ32" i="1"/>
  <c r="BE33" i="1"/>
  <c r="BE35" i="1"/>
  <c r="BE36" i="1"/>
  <c r="BE39" i="1"/>
  <c r="BE32" i="1"/>
  <c r="AE39" i="1" l="1"/>
  <c r="AE37" i="1"/>
  <c r="AF36" i="1"/>
  <c r="AG36" i="1"/>
  <c r="AH36" i="1"/>
  <c r="AI36" i="1"/>
  <c r="AJ36" i="1"/>
  <c r="AK36" i="1"/>
  <c r="AL36" i="1"/>
  <c r="AM36" i="1"/>
  <c r="AN36" i="1"/>
  <c r="AE36" i="1"/>
  <c r="AE35" i="1"/>
  <c r="AE33" i="1"/>
  <c r="AF32" i="1"/>
  <c r="AG32" i="1"/>
  <c r="AH32" i="1"/>
  <c r="AI32" i="1"/>
  <c r="AJ32" i="1"/>
  <c r="AK32" i="1"/>
  <c r="AL32" i="1"/>
  <c r="AM32" i="1"/>
  <c r="AN32" i="1"/>
  <c r="AE32" i="1"/>
  <c r="AE31" i="1"/>
  <c r="AF29" i="1" l="1"/>
  <c r="AG29" i="1"/>
  <c r="AH29" i="1"/>
  <c r="AI29" i="1"/>
  <c r="AJ29" i="1"/>
  <c r="AK29" i="1"/>
  <c r="AL29" i="1"/>
  <c r="AM29" i="1"/>
  <c r="AN29" i="1"/>
  <c r="AE29" i="1"/>
  <c r="R39" i="1"/>
  <c r="R37" i="1"/>
  <c r="S36" i="1"/>
  <c r="T36" i="1"/>
  <c r="U36" i="1"/>
  <c r="V36" i="1"/>
  <c r="W36" i="1"/>
  <c r="X36" i="1"/>
  <c r="Y36" i="1"/>
  <c r="Z36" i="1"/>
  <c r="R36" i="1"/>
  <c r="R35" i="1"/>
  <c r="R33" i="1"/>
  <c r="R31" i="1"/>
  <c r="C39" i="1"/>
  <c r="S32" i="1"/>
  <c r="T32" i="1"/>
  <c r="U32" i="1"/>
  <c r="V32" i="1"/>
  <c r="W32" i="1"/>
  <c r="X32" i="1"/>
  <c r="Y32" i="1"/>
  <c r="Z32" i="1"/>
  <c r="R32" i="1"/>
  <c r="S29" i="1"/>
  <c r="T29" i="1"/>
  <c r="U29" i="1"/>
  <c r="V29" i="1"/>
  <c r="W29" i="1"/>
  <c r="X29" i="1"/>
  <c r="Y29" i="1"/>
  <c r="Z29" i="1"/>
  <c r="R29" i="1"/>
  <c r="C37" i="1"/>
  <c r="D36" i="1"/>
  <c r="E36" i="1"/>
  <c r="F36" i="1"/>
  <c r="G36" i="1"/>
  <c r="H36" i="1"/>
  <c r="I36" i="1"/>
  <c r="J36" i="1"/>
  <c r="K36" i="1"/>
  <c r="L36" i="1"/>
  <c r="M36" i="1"/>
  <c r="C36" i="1"/>
  <c r="C35" i="1"/>
  <c r="C33" i="1"/>
  <c r="D32" i="1"/>
  <c r="E32" i="1"/>
  <c r="F32" i="1"/>
  <c r="G32" i="1"/>
  <c r="H32" i="1"/>
  <c r="I32" i="1"/>
  <c r="J32" i="1"/>
  <c r="K32" i="1"/>
  <c r="L32" i="1"/>
  <c r="M32" i="1"/>
  <c r="C32" i="1"/>
  <c r="C31" i="1"/>
  <c r="D29" i="1"/>
  <c r="E29" i="1"/>
  <c r="F29" i="1"/>
  <c r="G29" i="1"/>
  <c r="H29" i="1"/>
  <c r="I29" i="1"/>
  <c r="J29" i="1"/>
  <c r="K29" i="1"/>
  <c r="L29" i="1"/>
  <c r="M29" i="1"/>
  <c r="C29" i="1"/>
  <c r="AF28" i="1"/>
  <c r="AG28" i="1"/>
  <c r="AH28" i="1"/>
  <c r="AI28" i="1"/>
  <c r="AJ28" i="1"/>
  <c r="AK28" i="1"/>
  <c r="AL28" i="1"/>
  <c r="AM28" i="1"/>
  <c r="AN28" i="1"/>
  <c r="AE28" i="1"/>
  <c r="S28" i="1"/>
  <c r="T28" i="1"/>
  <c r="U28" i="1"/>
  <c r="V28" i="1"/>
  <c r="W28" i="1"/>
  <c r="X28" i="1"/>
  <c r="Y28" i="1"/>
  <c r="Z28" i="1"/>
  <c r="R28" i="1"/>
  <c r="D28" i="1"/>
  <c r="E28" i="1"/>
  <c r="F28" i="1"/>
  <c r="G28" i="1"/>
  <c r="H28" i="1"/>
  <c r="I28" i="1"/>
  <c r="J28" i="1"/>
  <c r="K28" i="1"/>
  <c r="L28" i="1"/>
  <c r="M28" i="1"/>
  <c r="C28" i="1"/>
  <c r="B17" i="1"/>
  <c r="C13" i="1"/>
  <c r="D13" i="1"/>
  <c r="E13" i="1"/>
  <c r="F13" i="1"/>
  <c r="G13" i="1"/>
  <c r="H13" i="1"/>
  <c r="I13" i="1"/>
  <c r="J13" i="1"/>
  <c r="K13" i="1"/>
  <c r="B13" i="1"/>
  <c r="Q5" i="1"/>
  <c r="S3" i="1"/>
  <c r="R3" i="1"/>
  <c r="Q3" i="1"/>
  <c r="Q4" i="1"/>
  <c r="B6" i="1"/>
  <c r="B5" i="1"/>
  <c r="AF26" i="1"/>
  <c r="AG26" i="1"/>
  <c r="AH26" i="1"/>
  <c r="AI26" i="1"/>
  <c r="AJ26" i="1"/>
  <c r="AK26" i="1"/>
  <c r="AL26" i="1"/>
  <c r="AM26" i="1"/>
  <c r="AN26" i="1"/>
  <c r="AE26" i="1"/>
  <c r="AF25" i="1"/>
  <c r="AG25" i="1"/>
  <c r="AH25" i="1"/>
  <c r="AI25" i="1"/>
  <c r="AJ25" i="1"/>
  <c r="AK25" i="1"/>
  <c r="AL25" i="1"/>
  <c r="AM25" i="1"/>
  <c r="AN25" i="1"/>
  <c r="AE25" i="1"/>
  <c r="AF23" i="1" l="1"/>
  <c r="AG23" i="1"/>
  <c r="AH23" i="1"/>
  <c r="AI23" i="1"/>
  <c r="AJ23" i="1"/>
  <c r="AK23" i="1"/>
  <c r="AL23" i="1"/>
  <c r="AM23" i="1"/>
  <c r="AN23" i="1"/>
  <c r="AE23" i="1"/>
  <c r="S23" i="1"/>
  <c r="T23" i="1"/>
  <c r="U23" i="1"/>
  <c r="V23" i="1"/>
  <c r="W23" i="1"/>
  <c r="X23" i="1"/>
  <c r="Y23" i="1"/>
  <c r="Z23" i="1"/>
  <c r="R23" i="1"/>
  <c r="S26" i="1"/>
  <c r="T26" i="1"/>
  <c r="U26" i="1"/>
  <c r="V26" i="1"/>
  <c r="W26" i="1"/>
  <c r="X26" i="1"/>
  <c r="Y26" i="1"/>
  <c r="Z26" i="1"/>
  <c r="R26" i="1"/>
  <c r="S25" i="1"/>
  <c r="T25" i="1"/>
  <c r="U25" i="1"/>
  <c r="V25" i="1"/>
  <c r="W25" i="1"/>
  <c r="X25" i="1"/>
  <c r="Y25" i="1"/>
  <c r="Z25" i="1"/>
  <c r="R25" i="1"/>
  <c r="D26" i="1" l="1"/>
  <c r="E26" i="1"/>
  <c r="F26" i="1"/>
  <c r="G26" i="1"/>
  <c r="H26" i="1"/>
  <c r="I26" i="1"/>
  <c r="J26" i="1"/>
  <c r="K26" i="1"/>
  <c r="L26" i="1"/>
  <c r="M26" i="1"/>
  <c r="C26" i="1"/>
  <c r="D25" i="1"/>
  <c r="E25" i="1"/>
  <c r="F25" i="1"/>
  <c r="G25" i="1"/>
  <c r="H25" i="1"/>
  <c r="I25" i="1"/>
  <c r="J25" i="1"/>
  <c r="K25" i="1"/>
  <c r="L25" i="1"/>
  <c r="M25" i="1"/>
  <c r="C25" i="1"/>
  <c r="D23" i="1"/>
  <c r="E23" i="1"/>
  <c r="F23" i="1"/>
  <c r="G23" i="1"/>
  <c r="H23" i="1"/>
  <c r="I23" i="1"/>
  <c r="J23" i="1"/>
  <c r="K23" i="1"/>
  <c r="L23" i="1"/>
  <c r="M23" i="1"/>
  <c r="C23" i="1"/>
  <c r="B16" i="1"/>
  <c r="F4" i="1"/>
  <c r="C4" i="1"/>
  <c r="E4" i="1"/>
  <c r="D4" i="1"/>
  <c r="J2" i="1"/>
  <c r="B4" i="1"/>
  <c r="J3" i="1"/>
</calcChain>
</file>

<file path=xl/sharedStrings.xml><?xml version="1.0" encoding="utf-8"?>
<sst xmlns="http://schemas.openxmlformats.org/spreadsheetml/2006/main" count="97" uniqueCount="54">
  <si>
    <t>Фон</t>
  </si>
  <si>
    <t>№ измерения</t>
  </si>
  <si>
    <t>N, частиц</t>
  </si>
  <si>
    <t>N_фон</t>
  </si>
  <si>
    <t>Ошибка определения N</t>
  </si>
  <si>
    <t>&lt;N&gt;^2</t>
  </si>
  <si>
    <t>&lt;N^2&gt;</t>
  </si>
  <si>
    <t>t, сек</t>
  </si>
  <si>
    <t>l, мм</t>
  </si>
  <si>
    <t>N_ср</t>
  </si>
  <si>
    <t>Алюминий</t>
  </si>
  <si>
    <t>2 см</t>
  </si>
  <si>
    <t>k шутк</t>
  </si>
  <si>
    <t>l мм</t>
  </si>
  <si>
    <t>N частиц</t>
  </si>
  <si>
    <t>Cвинец</t>
  </si>
  <si>
    <t>k штук</t>
  </si>
  <si>
    <t>N - Nфон</t>
  </si>
  <si>
    <t>ln(N-Nфон)</t>
  </si>
  <si>
    <t>ln(N - Nфон)</t>
  </si>
  <si>
    <t xml:space="preserve">Железо </t>
  </si>
  <si>
    <t>в отсут. поглот.</t>
  </si>
  <si>
    <t>№ эксперимента</t>
  </si>
  <si>
    <t>N_дествительное</t>
  </si>
  <si>
    <t>ошибка</t>
  </si>
  <si>
    <t>ln((No-Nфон)\(N-Nфон))</t>
  </si>
  <si>
    <t>ln(No - Nфон\N - Nфон)</t>
  </si>
  <si>
    <t>ln((No - Nфон)\(N-Nфон))</t>
  </si>
  <si>
    <t>$\delta y$</t>
  </si>
  <si>
    <t>&lt;x&gt;^2</t>
  </si>
  <si>
    <t>&lt;x^2&gt;</t>
  </si>
  <si>
    <t>&lt;y&gt;^2</t>
  </si>
  <si>
    <t>&lt;y^2&gt;</t>
  </si>
  <si>
    <t>сигма k</t>
  </si>
  <si>
    <t>N - Nфон частиц</t>
  </si>
  <si>
    <t>Al</t>
  </si>
  <si>
    <t>Pb</t>
  </si>
  <si>
    <t>Fe</t>
  </si>
  <si>
    <t xml:space="preserve">$\mu$, cm^{-1} </t>
  </si>
  <si>
    <t>$\mu'$, \dfrac{cm^2}{\text{г}}</t>
  </si>
  <si>
    <t>0,235 \pm 0,005</t>
  </si>
  <si>
    <t>0,087 \pm 0,002</t>
  </si>
  <si>
    <t>0,116 \pm 0,003</t>
  </si>
  <si>
    <t>1,31 \pm 0,03</t>
  </si>
  <si>
    <t>0,0795 \pm 0,0003</t>
  </si>
  <si>
    <t>0,626 \pm 0,023</t>
  </si>
  <si>
    <t>Свинец у щели</t>
  </si>
  <si>
    <t>Свинец ближе к источнику</t>
  </si>
  <si>
    <t>Железо у щели</t>
  </si>
  <si>
    <t>Железо ближе к источнику</t>
  </si>
  <si>
    <t>Алюминий у щели</t>
  </si>
  <si>
    <t>Алюминий ближе к источнику</t>
  </si>
  <si>
    <t>среднее</t>
  </si>
  <si>
    <t xml:space="preserve">погрешность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</si>
</sst>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1" xfId="0" applyBorder="1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Зависимость ln(N) от 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trendline>
            <c:trendlineType val="linear"/>
            <c:forward val="10"/>
            <c:backward val="10"/>
            <c:dispRSqr val="0"/>
            <c:dispEq val="1"/>
            <c:trendlineLbl>
              <c:layout>
                <c:manualLayout>
                  <c:x val="-0.37524961902359572"/>
                  <c:y val="0.27865101034698814"/>
                </c:manualLayout>
              </c:layout>
              <c:numFmt formatCode="General" sourceLinked="0"/>
            </c:trendlineLbl>
          </c:trendline>
          <c:errBars>
            <c:errDir val="x"/>
            <c:errBarType val="both"/>
            <c:errValType val="percentage"/>
            <c:noEndCap val="0"/>
            <c:val val="0"/>
          </c:errBars>
          <c:errBars>
            <c:errDir val="y"/>
            <c:errBarType val="both"/>
            <c:errValType val="cust"/>
            <c:noEndCap val="0"/>
            <c:plus>
              <c:numRef>
                <c:f>Лист1!$C$29:$M$29</c:f>
                <c:numCache>
                  <c:formatCode>General</c:formatCode>
                  <c:ptCount val="11"/>
                  <c:pt idx="0">
                    <c:v>3.280520044318877E-2</c:v>
                  </c:pt>
                  <c:pt idx="1">
                    <c:v>3.4694942242856165E-2</c:v>
                  </c:pt>
                  <c:pt idx="2">
                    <c:v>3.688600782912313E-2</c:v>
                  </c:pt>
                  <c:pt idx="3">
                    <c:v>3.9652194861121592E-2</c:v>
                  </c:pt>
                  <c:pt idx="4">
                    <c:v>4.3420229967660803E-2</c:v>
                  </c:pt>
                  <c:pt idx="5">
                    <c:v>4.8232393225230229E-2</c:v>
                  </c:pt>
                  <c:pt idx="6">
                    <c:v>5.4119558447502998E-2</c:v>
                  </c:pt>
                  <c:pt idx="7">
                    <c:v>6.2020898904775495E-2</c:v>
                  </c:pt>
                  <c:pt idx="8">
                    <c:v>7.3377326679086016E-2</c:v>
                  </c:pt>
                  <c:pt idx="9">
                    <c:v>8.8457768788024874E-2</c:v>
                  </c:pt>
                  <c:pt idx="10">
                    <c:v>0.1119855947193534</c:v>
                  </c:pt>
                </c:numCache>
              </c:numRef>
            </c:plus>
            <c:minus>
              <c:numRef>
                <c:f>Лист1!$C$29:$M$29</c:f>
                <c:numCache>
                  <c:formatCode>General</c:formatCode>
                  <c:ptCount val="11"/>
                  <c:pt idx="0">
                    <c:v>3.280520044318877E-2</c:v>
                  </c:pt>
                  <c:pt idx="1">
                    <c:v>3.4694942242856165E-2</c:v>
                  </c:pt>
                  <c:pt idx="2">
                    <c:v>3.688600782912313E-2</c:v>
                  </c:pt>
                  <c:pt idx="3">
                    <c:v>3.9652194861121592E-2</c:v>
                  </c:pt>
                  <c:pt idx="4">
                    <c:v>4.3420229967660803E-2</c:v>
                  </c:pt>
                  <c:pt idx="5">
                    <c:v>4.8232393225230229E-2</c:v>
                  </c:pt>
                  <c:pt idx="6">
                    <c:v>5.4119558447502998E-2</c:v>
                  </c:pt>
                  <c:pt idx="7">
                    <c:v>6.2020898904775495E-2</c:v>
                  </c:pt>
                  <c:pt idx="8">
                    <c:v>7.3377326679086016E-2</c:v>
                  </c:pt>
                  <c:pt idx="9">
                    <c:v>8.8457768788024874E-2</c:v>
                  </c:pt>
                  <c:pt idx="10">
                    <c:v>0.1119855947193534</c:v>
                  </c:pt>
                </c:numCache>
              </c:numRef>
            </c:minus>
          </c:errBars>
          <c:xVal>
            <c:numRef>
              <c:f>Лист1!$C$27:$M$27</c:f>
              <c:numCache>
                <c:formatCode>General</c:formatCode>
                <c:ptCount val="11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</c:numCache>
            </c:numRef>
          </c:xVal>
          <c:yVal>
            <c:numRef>
              <c:f>Лист1!$C$28:$M$28</c:f>
              <c:numCache>
                <c:formatCode>0.00</c:formatCode>
                <c:ptCount val="11"/>
                <c:pt idx="0">
                  <c:v>0.40977124120565733</c:v>
                </c:pt>
                <c:pt idx="1">
                  <c:v>0.94412684345246589</c:v>
                </c:pt>
                <c:pt idx="2">
                  <c:v>1.4163419980994476</c:v>
                </c:pt>
                <c:pt idx="3">
                  <c:v>1.8773513995634588</c:v>
                </c:pt>
                <c:pt idx="4">
                  <c:v>2.3588248113169232</c:v>
                </c:pt>
                <c:pt idx="5">
                  <c:v>2.8264437746614348</c:v>
                </c:pt>
                <c:pt idx="6">
                  <c:v>3.2639294888736492</c:v>
                </c:pt>
                <c:pt idx="7">
                  <c:v>3.7117074866701376</c:v>
                </c:pt>
                <c:pt idx="8">
                  <c:v>4.1913488846092495</c:v>
                </c:pt>
                <c:pt idx="9">
                  <c:v>4.6582011002741837</c:v>
                </c:pt>
                <c:pt idx="10">
                  <c:v>5.177452664354246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51648"/>
        <c:axId val="68657920"/>
      </c:scatterChart>
      <c:valAx>
        <c:axId val="68651648"/>
        <c:scaling>
          <c:orientation val="minMax"/>
          <c:max val="23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l,</a:t>
                </a:r>
                <a:r>
                  <a:rPr lang="en-US" baseline="0"/>
                  <a:t> </a:t>
                </a:r>
                <a:r>
                  <a:rPr lang="ru-RU" baseline="0"/>
                  <a:t>мм</a:t>
                </a:r>
                <a:endParaRPr lang="ru-RU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8657920"/>
        <c:crosses val="autoZero"/>
        <c:crossBetween val="midCat"/>
        <c:majorUnit val="10"/>
        <c:minorUnit val="5"/>
      </c:valAx>
      <c:valAx>
        <c:axId val="6865792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baseline="0">
                    <a:effectLst/>
                  </a:rPr>
                  <a:t>ln(</a:t>
                </a:r>
                <a:r>
                  <a:rPr lang="ru-RU" sz="1800" b="1" i="0" baseline="0">
                    <a:effectLst/>
                  </a:rPr>
                  <a:t>(</a:t>
                </a:r>
                <a:r>
                  <a:rPr lang="en-US" sz="1800" b="1" i="0" baseline="0">
                    <a:effectLst/>
                  </a:rPr>
                  <a:t>No</a:t>
                </a:r>
                <a:r>
                  <a:rPr lang="ru-RU" sz="1800" b="1" i="0" baseline="0">
                    <a:effectLst/>
                  </a:rPr>
                  <a:t>-</a:t>
                </a:r>
                <a:r>
                  <a:rPr lang="en-US" sz="1800" b="1" i="0" baseline="0">
                    <a:effectLst/>
                  </a:rPr>
                  <a:t>N</a:t>
                </a:r>
                <a:r>
                  <a:rPr lang="ru-RU" sz="1800" b="1" i="0" baseline="0">
                    <a:effectLst/>
                  </a:rPr>
                  <a:t>фон)\</a:t>
                </a:r>
                <a:r>
                  <a:rPr lang="en-US" sz="1800" b="1" i="0" baseline="0">
                    <a:effectLst/>
                  </a:rPr>
                  <a:t>(N-N</a:t>
                </a:r>
                <a:r>
                  <a:rPr lang="ru-RU" sz="1800" b="1" i="0" baseline="0">
                    <a:effectLst/>
                  </a:rPr>
                  <a:t>фон</a:t>
                </a:r>
                <a:r>
                  <a:rPr lang="en-US" sz="1800" b="1" i="0" baseline="0">
                    <a:effectLst/>
                  </a:rPr>
                  <a:t>))</a:t>
                </a:r>
                <a:endParaRPr lang="ru-RU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68651648"/>
        <c:crosses val="autoZero"/>
        <c:crossBetween val="midCat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trendline>
            <c:trendlineType val="linear"/>
            <c:dispRSqr val="0"/>
            <c:dispEq val="0"/>
          </c:trendline>
          <c:trendline>
            <c:trendlineType val="linear"/>
            <c:forward val="2"/>
            <c:backward val="2"/>
            <c:dispRSqr val="0"/>
            <c:dispEq val="1"/>
            <c:trendlineLbl>
              <c:layout>
                <c:manualLayout>
                  <c:x val="-0.20282632659521921"/>
                  <c:y val="5.6471756146103266E-2"/>
                </c:manualLayout>
              </c:layout>
              <c:numFmt formatCode="General" sourceLinked="0"/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Лист1!$R$29:$Z$29</c:f>
                <c:numCache>
                  <c:formatCode>General</c:formatCode>
                  <c:ptCount val="9"/>
                  <c:pt idx="0">
                    <c:v>3.3227820018947349E-2</c:v>
                  </c:pt>
                  <c:pt idx="1">
                    <c:v>3.5983447123665642E-2</c:v>
                  </c:pt>
                  <c:pt idx="2">
                    <c:v>4.0027879467845029E-2</c:v>
                  </c:pt>
                  <c:pt idx="3">
                    <c:v>4.5879265303198066E-2</c:v>
                  </c:pt>
                  <c:pt idx="4">
                    <c:v>5.4879026812979896E-2</c:v>
                  </c:pt>
                  <c:pt idx="5">
                    <c:v>6.5230868781925355E-2</c:v>
                  </c:pt>
                  <c:pt idx="6">
                    <c:v>8.1156782060626098E-2</c:v>
                  </c:pt>
                  <c:pt idx="7">
                    <c:v>0.10682536130286935</c:v>
                  </c:pt>
                  <c:pt idx="8">
                    <c:v>0.16433402344781767</c:v>
                  </c:pt>
                </c:numCache>
              </c:numRef>
            </c:plus>
            <c:minus>
              <c:numRef>
                <c:f>Лист1!$R$29:$Z$29</c:f>
                <c:numCache>
                  <c:formatCode>General</c:formatCode>
                  <c:ptCount val="9"/>
                  <c:pt idx="0">
                    <c:v>3.3227820018947349E-2</c:v>
                  </c:pt>
                  <c:pt idx="1">
                    <c:v>3.5983447123665642E-2</c:v>
                  </c:pt>
                  <c:pt idx="2">
                    <c:v>4.0027879467845029E-2</c:v>
                  </c:pt>
                  <c:pt idx="3">
                    <c:v>4.5879265303198066E-2</c:v>
                  </c:pt>
                  <c:pt idx="4">
                    <c:v>5.4879026812979896E-2</c:v>
                  </c:pt>
                  <c:pt idx="5">
                    <c:v>6.5230868781925355E-2</c:v>
                  </c:pt>
                  <c:pt idx="6">
                    <c:v>8.1156782060626098E-2</c:v>
                  </c:pt>
                  <c:pt idx="7">
                    <c:v>0.10682536130286935</c:v>
                  </c:pt>
                  <c:pt idx="8">
                    <c:v>0.16433402344781767</c:v>
                  </c:pt>
                </c:numCache>
              </c:numRef>
            </c:minus>
          </c:errBars>
          <c:xVal>
            <c:numRef>
              <c:f>Лист1!$R$27:$Z$27</c:f>
              <c:numCache>
                <c:formatCode>General</c:formatCode>
                <c:ptCount val="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</c:numCache>
            </c:numRef>
          </c:xVal>
          <c:yVal>
            <c:numRef>
              <c:f>Лист1!$R$28:$Z$28</c:f>
              <c:numCache>
                <c:formatCode>General</c:formatCode>
                <c:ptCount val="9"/>
                <c:pt idx="0">
                  <c:v>0.54324659101345318</c:v>
                </c:pt>
                <c:pt idx="1">
                  <c:v>1.2363190527031129</c:v>
                </c:pt>
                <c:pt idx="2">
                  <c:v>1.9317102315119055</c:v>
                </c:pt>
                <c:pt idx="3">
                  <c:v>2.6136874396539262</c:v>
                </c:pt>
                <c:pt idx="4">
                  <c:v>3.3127764083426223</c:v>
                </c:pt>
                <c:pt idx="5">
                  <c:v>3.862902208093197</c:v>
                </c:pt>
                <c:pt idx="6">
                  <c:v>4.4502757352079891</c:v>
                </c:pt>
                <c:pt idx="7">
                  <c:v>5.0786520796101522</c:v>
                </c:pt>
                <c:pt idx="8">
                  <c:v>5.9098205580674721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92224"/>
        <c:axId val="68706688"/>
      </c:scatterChart>
      <c:valAx>
        <c:axId val="6869222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l,</a:t>
                </a:r>
                <a:r>
                  <a:rPr lang="en-US" baseline="0"/>
                  <a:t> </a:t>
                </a:r>
                <a:r>
                  <a:rPr lang="ru-RU" baseline="0"/>
                  <a:t>мм</a:t>
                </a:r>
                <a:endParaRPr lang="ru-RU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8706688"/>
        <c:crosses val="autoZero"/>
        <c:crossBetween val="midCat"/>
      </c:valAx>
      <c:valAx>
        <c:axId val="6870668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baseline="0">
                    <a:effectLst/>
                  </a:rPr>
                  <a:t>ln(</a:t>
                </a:r>
                <a:r>
                  <a:rPr lang="ru-RU" sz="1800" b="1" i="0" baseline="0">
                    <a:effectLst/>
                  </a:rPr>
                  <a:t>(</a:t>
                </a:r>
                <a:r>
                  <a:rPr lang="en-US" sz="1800" b="1" i="0" baseline="0">
                    <a:effectLst/>
                  </a:rPr>
                  <a:t>No</a:t>
                </a:r>
                <a:r>
                  <a:rPr lang="ru-RU" sz="1800" b="1" i="0" baseline="0">
                    <a:effectLst/>
                  </a:rPr>
                  <a:t>-</a:t>
                </a:r>
                <a:r>
                  <a:rPr lang="en-US" sz="1800" b="1" i="0" baseline="0">
                    <a:effectLst/>
                  </a:rPr>
                  <a:t>N</a:t>
                </a:r>
                <a:r>
                  <a:rPr lang="ru-RU" sz="1800" b="1" i="0" baseline="0">
                    <a:effectLst/>
                  </a:rPr>
                  <a:t>фон)\</a:t>
                </a:r>
                <a:r>
                  <a:rPr lang="en-US" sz="1800" b="1" i="0" baseline="0">
                    <a:effectLst/>
                  </a:rPr>
                  <a:t>(N-N</a:t>
                </a:r>
                <a:r>
                  <a:rPr lang="ru-RU" sz="1800" b="1" i="0" baseline="0">
                    <a:effectLst/>
                  </a:rPr>
                  <a:t>фон</a:t>
                </a:r>
                <a:r>
                  <a:rPr lang="en-US" sz="1800" b="1" i="0" baseline="0">
                    <a:effectLst/>
                  </a:rPr>
                  <a:t>))</a:t>
                </a:r>
                <a:endParaRPr lang="ru-RU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86922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trendline>
            <c:trendlineType val="linear"/>
            <c:forward val="4"/>
            <c:backward val="4"/>
            <c:dispRSqr val="0"/>
            <c:dispEq val="1"/>
            <c:trendlineLbl>
              <c:layout>
                <c:manualLayout>
                  <c:x val="-0.2931025792369526"/>
                  <c:y val="0.116433153438585"/>
                </c:manualLayout>
              </c:layout>
              <c:numFmt formatCode="General" sourceLinked="0"/>
            </c:trendlineLbl>
          </c:trendline>
          <c:errBars>
            <c:errDir val="x"/>
            <c:errBarType val="both"/>
            <c:errValType val="fixedVal"/>
            <c:noEndCap val="0"/>
            <c:val val="0"/>
          </c:errBars>
          <c:errBars>
            <c:errDir val="y"/>
            <c:errBarType val="both"/>
            <c:errValType val="cust"/>
            <c:noEndCap val="0"/>
            <c:plus>
              <c:numRef>
                <c:f>Лист1!$AE$29:$AN$29</c:f>
                <c:numCache>
                  <c:formatCode>General</c:formatCode>
                  <c:ptCount val="10"/>
                  <c:pt idx="0">
                    <c:v>3.3336791143281176E-2</c:v>
                  </c:pt>
                  <c:pt idx="1">
                    <c:v>3.6180991222769146E-2</c:v>
                  </c:pt>
                  <c:pt idx="2">
                    <c:v>4.0212377400203773E-2</c:v>
                  </c:pt>
                  <c:pt idx="3">
                    <c:v>4.6174894338566495E-2</c:v>
                  </c:pt>
                  <c:pt idx="4">
                    <c:v>5.425085162201769E-2</c:v>
                  </c:pt>
                  <c:pt idx="5">
                    <c:v>6.6943251037740792E-2</c:v>
                  </c:pt>
                  <c:pt idx="6">
                    <c:v>8.3271908415636448E-2</c:v>
                  </c:pt>
                  <c:pt idx="7">
                    <c:v>0.10735714782089903</c:v>
                  </c:pt>
                  <c:pt idx="8">
                    <c:v>0.14908295277556907</c:v>
                  </c:pt>
                  <c:pt idx="9">
                    <c:v>0.18800114647980792</c:v>
                  </c:pt>
                </c:numCache>
              </c:numRef>
            </c:plus>
            <c:minus>
              <c:numRef>
                <c:f>Лист1!$AE$29:$AN$29</c:f>
                <c:numCache>
                  <c:formatCode>General</c:formatCode>
                  <c:ptCount val="10"/>
                  <c:pt idx="0">
                    <c:v>3.3336791143281176E-2</c:v>
                  </c:pt>
                  <c:pt idx="1">
                    <c:v>3.6180991222769146E-2</c:v>
                  </c:pt>
                  <c:pt idx="2">
                    <c:v>4.0212377400203773E-2</c:v>
                  </c:pt>
                  <c:pt idx="3">
                    <c:v>4.6174894338566495E-2</c:v>
                  </c:pt>
                  <c:pt idx="4">
                    <c:v>5.425085162201769E-2</c:v>
                  </c:pt>
                  <c:pt idx="5">
                    <c:v>6.6943251037740792E-2</c:v>
                  </c:pt>
                  <c:pt idx="6">
                    <c:v>8.3271908415636448E-2</c:v>
                  </c:pt>
                  <c:pt idx="7">
                    <c:v>0.10735714782089903</c:v>
                  </c:pt>
                  <c:pt idx="8">
                    <c:v>0.14908295277556907</c:v>
                  </c:pt>
                  <c:pt idx="9">
                    <c:v>0.18800114647980792</c:v>
                  </c:pt>
                </c:numCache>
              </c:numRef>
            </c:minus>
          </c:errBars>
          <c:xVal>
            <c:numRef>
              <c:f>Лист1!$AE$27:$AN$27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Лист1!$AE$28:$AN$28</c:f>
              <c:numCache>
                <c:formatCode>General</c:formatCode>
                <c:ptCount val="10"/>
                <c:pt idx="0">
                  <c:v>0.57617465846614202</c:v>
                </c:pt>
                <c:pt idx="1">
                  <c:v>1.2772686953381633</c:v>
                </c:pt>
                <c:pt idx="2">
                  <c:v>1.9578079044231682</c:v>
                </c:pt>
                <c:pt idx="3">
                  <c:v>2.6419260237197371</c:v>
                </c:pt>
                <c:pt idx="4">
                  <c:v>3.2724789852357175</c:v>
                </c:pt>
                <c:pt idx="5">
                  <c:v>3.9379642270675737</c:v>
                </c:pt>
                <c:pt idx="6">
                  <c:v>4.5135758660944134</c:v>
                </c:pt>
                <c:pt idx="7">
                  <c:v>5.0891600572085673</c:v>
                </c:pt>
                <c:pt idx="8">
                  <c:v>5.7341879894243144</c:v>
                </c:pt>
                <c:pt idx="9">
                  <c:v>6.1430144452351838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40608"/>
        <c:axId val="68742528"/>
      </c:scatterChart>
      <c:valAx>
        <c:axId val="68740608"/>
        <c:scaling>
          <c:orientation val="minMax"/>
          <c:max val="11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l,</a:t>
                </a:r>
                <a:r>
                  <a:rPr lang="ru-RU"/>
                  <a:t> мм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8742528"/>
        <c:crosses val="autoZero"/>
        <c:crossBetween val="midCat"/>
        <c:majorUnit val="10"/>
      </c:valAx>
      <c:valAx>
        <c:axId val="6874252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baseline="0">
                    <a:effectLst/>
                  </a:rPr>
                  <a:t>ln(</a:t>
                </a:r>
                <a:r>
                  <a:rPr lang="ru-RU" sz="1800" b="1" i="0" baseline="0">
                    <a:effectLst/>
                  </a:rPr>
                  <a:t>(</a:t>
                </a:r>
                <a:r>
                  <a:rPr lang="en-US" sz="1800" b="1" i="0" baseline="0">
                    <a:effectLst/>
                  </a:rPr>
                  <a:t>No</a:t>
                </a:r>
                <a:r>
                  <a:rPr lang="ru-RU" sz="1800" b="1" i="0" baseline="0">
                    <a:effectLst/>
                  </a:rPr>
                  <a:t>-</a:t>
                </a:r>
                <a:r>
                  <a:rPr lang="en-US" sz="1800" b="1" i="0" baseline="0">
                    <a:effectLst/>
                  </a:rPr>
                  <a:t>N</a:t>
                </a:r>
                <a:r>
                  <a:rPr lang="ru-RU" sz="1800" b="1" i="0" baseline="0">
                    <a:effectLst/>
                  </a:rPr>
                  <a:t>фон)\</a:t>
                </a:r>
                <a:r>
                  <a:rPr lang="en-US" sz="1800" b="1" i="0" baseline="0">
                    <a:effectLst/>
                  </a:rPr>
                  <a:t>(N-N</a:t>
                </a:r>
                <a:r>
                  <a:rPr lang="ru-RU" sz="1800" b="1" i="0" baseline="0">
                    <a:effectLst/>
                  </a:rPr>
                  <a:t>фон</a:t>
                </a:r>
                <a:r>
                  <a:rPr lang="en-US" sz="1800" b="1" i="0" baseline="0">
                    <a:effectLst/>
                  </a:rPr>
                  <a:t>))</a:t>
                </a:r>
                <a:endParaRPr lang="ru-RU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87406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272143</xdr:colOff>
      <xdr:row>42</xdr:row>
      <xdr:rowOff>58814</xdr:rowOff>
    </xdr:from>
    <xdr:to>
      <xdr:col>12</xdr:col>
      <xdr:colOff>402770</xdr:colOff>
      <xdr:row>67</xdr:row>
      <xdr:rowOff>163285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268941</xdr:colOff>
      <xdr:row>44</xdr:row>
      <xdr:rowOff>138955</xdr:rowOff>
    </xdr:from>
    <xdr:to>
      <xdr:col>25</xdr:col>
      <xdr:colOff>451821</xdr:colOff>
      <xdr:row>71</xdr:row>
      <xdr:rowOff>160727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563495</xdr:colOff>
      <xdr:row>45</xdr:row>
      <xdr:rowOff>47383</xdr:rowOff>
    </xdr:from>
    <xdr:to>
      <xdr:col>40</xdr:col>
      <xdr:colOff>416858</xdr:colOff>
      <xdr:row>71</xdr:row>
      <xdr:rowOff>126146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9"/>
  <sheetViews>
    <sheetView tabSelected="1" topLeftCell="AU18" zoomScale="85" zoomScaleNormal="85" workbookViewId="0">
      <selection activeCell="BD38" sqref="BD38:BH39"/>
    </sheetView>
  </sheetViews>
  <sheetFormatPr defaultRowHeight="14.4" x14ac:dyDescent="0.3"/>
  <cols>
    <col min="1" max="1" width="23.5546875" customWidth="1"/>
    <col min="2" max="2" width="22.21875" customWidth="1"/>
    <col min="9" max="9" width="10.77734375" customWidth="1"/>
    <col min="10" max="10" width="9.21875" customWidth="1"/>
    <col min="15" max="15" width="23.6640625" customWidth="1"/>
    <col min="16" max="16" width="17.77734375" customWidth="1"/>
    <col min="17" max="17" width="21.5546875" bestFit="1" customWidth="1"/>
    <col min="30" max="30" width="24.109375" customWidth="1"/>
    <col min="44" max="44" width="29.109375" customWidth="1"/>
    <col min="45" max="45" width="27.44140625" customWidth="1"/>
    <col min="46" max="46" width="28.21875" customWidth="1"/>
    <col min="47" max="47" width="17.6640625" customWidth="1"/>
    <col min="48" max="48" width="8.88671875" customWidth="1"/>
    <col min="49" max="49" width="28.77734375" customWidth="1"/>
    <col min="59" max="59" width="12.88671875" bestFit="1" customWidth="1"/>
  </cols>
  <sheetData>
    <row r="1" spans="1:40" x14ac:dyDescent="0.3">
      <c r="A1" t="s">
        <v>0</v>
      </c>
      <c r="O1" t="s">
        <v>21</v>
      </c>
      <c r="P1" t="s">
        <v>22</v>
      </c>
      <c r="Q1">
        <v>1</v>
      </c>
      <c r="R1">
        <v>2</v>
      </c>
      <c r="S1">
        <v>3</v>
      </c>
    </row>
    <row r="2" spans="1:40" x14ac:dyDescent="0.3">
      <c r="A2" t="s">
        <v>1</v>
      </c>
      <c r="B2">
        <v>1</v>
      </c>
      <c r="C2">
        <v>2</v>
      </c>
      <c r="D2">
        <v>3</v>
      </c>
      <c r="E2">
        <v>4</v>
      </c>
      <c r="F2">
        <v>5</v>
      </c>
      <c r="I2" t="s">
        <v>5</v>
      </c>
      <c r="J2">
        <f>B5*B5</f>
        <v>13409.64</v>
      </c>
      <c r="P2" t="s">
        <v>14</v>
      </c>
      <c r="Q2">
        <v>46584</v>
      </c>
      <c r="R2">
        <v>48825</v>
      </c>
      <c r="S2">
        <v>42831</v>
      </c>
    </row>
    <row r="3" spans="1:40" x14ac:dyDescent="0.3">
      <c r="A3" t="s">
        <v>2</v>
      </c>
      <c r="B3">
        <v>106</v>
      </c>
      <c r="C3">
        <v>110</v>
      </c>
      <c r="D3">
        <v>123</v>
      </c>
      <c r="E3">
        <v>140</v>
      </c>
      <c r="F3">
        <v>100</v>
      </c>
      <c r="I3" t="s">
        <v>6</v>
      </c>
      <c r="J3">
        <f>SUM(B4:F4)/5</f>
        <v>203.35999999999999</v>
      </c>
      <c r="Q3">
        <f>($Q$4 - Q2)^2</f>
        <v>254016</v>
      </c>
      <c r="R3">
        <f t="shared" ref="R3" si="0">($Q$4 - R2)^2</f>
        <v>7535025</v>
      </c>
      <c r="S3">
        <f>($Q$4 - S2)^2</f>
        <v>10556001</v>
      </c>
    </row>
    <row r="4" spans="1:40" x14ac:dyDescent="0.3">
      <c r="B4">
        <f>($B$5 - B3)^2</f>
        <v>96.039999999999949</v>
      </c>
      <c r="C4">
        <f t="shared" ref="C4:F4" si="1">($B$5 - C3)^2</f>
        <v>33.639999999999965</v>
      </c>
      <c r="D4">
        <f t="shared" si="1"/>
        <v>51.840000000000039</v>
      </c>
      <c r="E4">
        <f t="shared" si="1"/>
        <v>585.6400000000001</v>
      </c>
      <c r="F4">
        <f t="shared" si="1"/>
        <v>249.6399999999999</v>
      </c>
      <c r="P4" t="s">
        <v>23</v>
      </c>
      <c r="Q4">
        <f>SUM(Q2:S2)/3</f>
        <v>46080</v>
      </c>
    </row>
    <row r="5" spans="1:40" x14ac:dyDescent="0.3">
      <c r="A5" t="s">
        <v>3</v>
      </c>
      <c r="B5">
        <f>SUM(B3:F3)/5</f>
        <v>115.8</v>
      </c>
      <c r="P5" t="s">
        <v>24</v>
      </c>
      <c r="Q5">
        <f>SQRT(SUM(Q3:S3)/12)</f>
        <v>1236.4277172564516</v>
      </c>
    </row>
    <row r="6" spans="1:40" x14ac:dyDescent="0.3">
      <c r="A6" t="s">
        <v>4</v>
      </c>
      <c r="B6">
        <f>SQRT(SUM(B4:F4)/30)</f>
        <v>5.8217981185655461</v>
      </c>
    </row>
    <row r="9" spans="1:40" x14ac:dyDescent="0.3">
      <c r="A9" s="2" t="s">
        <v>2</v>
      </c>
      <c r="B9" s="2">
        <v>31235</v>
      </c>
      <c r="C9" s="2">
        <v>31370</v>
      </c>
      <c r="D9" s="2">
        <v>30584</v>
      </c>
      <c r="E9" s="2">
        <v>30713</v>
      </c>
      <c r="F9" s="2">
        <v>30781</v>
      </c>
      <c r="G9" s="2">
        <v>30553</v>
      </c>
      <c r="H9" s="2">
        <v>30661</v>
      </c>
      <c r="I9" s="2">
        <v>30711</v>
      </c>
      <c r="J9" s="2">
        <v>30310</v>
      </c>
      <c r="K9" s="2">
        <v>30121</v>
      </c>
    </row>
    <row r="10" spans="1:40" x14ac:dyDescent="0.3">
      <c r="A10" s="2" t="s">
        <v>7</v>
      </c>
      <c r="B10" s="2">
        <v>10</v>
      </c>
      <c r="C10" s="2">
        <v>10</v>
      </c>
      <c r="D10" s="2">
        <v>10</v>
      </c>
      <c r="E10" s="2">
        <v>10</v>
      </c>
      <c r="F10" s="2">
        <v>10</v>
      </c>
      <c r="G10" s="2">
        <v>10</v>
      </c>
      <c r="H10" s="2">
        <v>10</v>
      </c>
      <c r="I10" s="2">
        <v>10</v>
      </c>
      <c r="J10" s="2">
        <v>10</v>
      </c>
      <c r="K10" s="2">
        <v>10</v>
      </c>
    </row>
    <row r="11" spans="1:40" x14ac:dyDescent="0.3">
      <c r="A11" s="2" t="s">
        <v>8</v>
      </c>
      <c r="B11" s="2">
        <v>20</v>
      </c>
      <c r="C11" s="2">
        <v>20</v>
      </c>
      <c r="D11" s="2">
        <v>20</v>
      </c>
      <c r="E11" s="2">
        <v>20</v>
      </c>
      <c r="F11" s="2">
        <v>20</v>
      </c>
      <c r="G11" s="2">
        <v>20</v>
      </c>
      <c r="H11" s="2">
        <v>20</v>
      </c>
      <c r="I11" s="2">
        <v>20</v>
      </c>
      <c r="J11" s="2">
        <v>20</v>
      </c>
      <c r="K11" s="2">
        <v>20</v>
      </c>
    </row>
    <row r="13" spans="1:40" x14ac:dyDescent="0.3">
      <c r="B13">
        <f>($B$16-B9)^2</f>
        <v>282067.20999999845</v>
      </c>
      <c r="C13">
        <f t="shared" ref="C13:K13" si="2">($B$16-C9)^2</f>
        <v>443689.20999999804</v>
      </c>
      <c r="D13">
        <f t="shared" si="2"/>
        <v>14376.010000000349</v>
      </c>
      <c r="E13">
        <f t="shared" si="2"/>
        <v>82.809999999973513</v>
      </c>
      <c r="F13">
        <f t="shared" si="2"/>
        <v>5944.4099999997752</v>
      </c>
      <c r="G13">
        <f t="shared" si="2"/>
        <v>22770.810000000438</v>
      </c>
      <c r="H13">
        <f t="shared" si="2"/>
        <v>1840.4100000001249</v>
      </c>
      <c r="I13">
        <f t="shared" si="2"/>
        <v>50.409999999979334</v>
      </c>
      <c r="J13">
        <f t="shared" si="2"/>
        <v>155157.21000000116</v>
      </c>
      <c r="K13">
        <f t="shared" si="2"/>
        <v>339772.41000000172</v>
      </c>
      <c r="AD13" t="s">
        <v>27</v>
      </c>
      <c r="AE13" s="3">
        <v>0.57617465846614202</v>
      </c>
      <c r="AF13" s="3">
        <v>1.2772686953381633</v>
      </c>
      <c r="AG13" s="3">
        <v>1.9578079044231682</v>
      </c>
      <c r="AH13" s="3">
        <v>2.6419260237197371</v>
      </c>
      <c r="AI13" s="3">
        <v>3.2724789852357175</v>
      </c>
      <c r="AJ13" s="3">
        <v>3.9379642270675737</v>
      </c>
      <c r="AK13" s="3">
        <v>4.5135758660944134</v>
      </c>
      <c r="AL13" s="3">
        <v>5.0891600572085673</v>
      </c>
      <c r="AM13" s="3">
        <v>5.7341879894243144</v>
      </c>
      <c r="AN13" s="3">
        <v>6.1430144452351838</v>
      </c>
    </row>
    <row r="14" spans="1:40" x14ac:dyDescent="0.3">
      <c r="Q14" t="s">
        <v>26</v>
      </c>
      <c r="R14" s="3">
        <v>0.54324659101345318</v>
      </c>
      <c r="S14" s="3">
        <v>1.2363190527031129</v>
      </c>
      <c r="T14" s="3">
        <v>1.9317102315119055</v>
      </c>
      <c r="U14" s="3">
        <v>2.6136874396539262</v>
      </c>
      <c r="V14" s="3">
        <v>3.3127764083426223</v>
      </c>
      <c r="W14" s="3">
        <v>3.862902208093197</v>
      </c>
      <c r="X14" s="3">
        <v>4.4502757352079891</v>
      </c>
      <c r="Y14" s="3">
        <v>5.0786520796101522</v>
      </c>
      <c r="Z14" s="3">
        <v>5.9098205580674721</v>
      </c>
      <c r="AD14" t="s">
        <v>8</v>
      </c>
      <c r="AE14">
        <v>10</v>
      </c>
      <c r="AF14">
        <v>20</v>
      </c>
      <c r="AG14">
        <v>30</v>
      </c>
      <c r="AH14">
        <v>40</v>
      </c>
      <c r="AI14">
        <v>50</v>
      </c>
      <c r="AJ14">
        <v>60</v>
      </c>
      <c r="AK14">
        <v>70</v>
      </c>
      <c r="AL14">
        <v>80</v>
      </c>
      <c r="AM14">
        <v>90</v>
      </c>
      <c r="AN14">
        <v>100</v>
      </c>
    </row>
    <row r="15" spans="1:40" x14ac:dyDescent="0.3">
      <c r="Q15" t="s">
        <v>8</v>
      </c>
      <c r="R15">
        <v>5</v>
      </c>
      <c r="S15">
        <v>10</v>
      </c>
      <c r="T15">
        <v>15</v>
      </c>
      <c r="U15">
        <v>20</v>
      </c>
      <c r="V15">
        <v>25</v>
      </c>
      <c r="W15">
        <v>30</v>
      </c>
      <c r="X15">
        <v>35</v>
      </c>
      <c r="Y15">
        <v>40</v>
      </c>
      <c r="Z15">
        <v>45</v>
      </c>
      <c r="AD15" t="s">
        <v>28</v>
      </c>
      <c r="AE15" s="3">
        <v>3.3336791143281176E-2</v>
      </c>
      <c r="AF15" s="3">
        <v>3.6180991222769146E-2</v>
      </c>
      <c r="AG15" s="3">
        <v>4.0212377400203773E-2</v>
      </c>
      <c r="AH15" s="3">
        <v>4.6174894338566495E-2</v>
      </c>
      <c r="AI15" s="3">
        <v>5.425085162201769E-2</v>
      </c>
      <c r="AJ15" s="3">
        <v>6.6943251037740792E-2</v>
      </c>
      <c r="AK15" s="3">
        <v>8.3271908415636448E-2</v>
      </c>
      <c r="AL15" s="3">
        <v>0.10735714782089903</v>
      </c>
      <c r="AM15" s="3">
        <v>0.14908295277556907</v>
      </c>
      <c r="AN15" s="3">
        <v>0.18800114647980792</v>
      </c>
    </row>
    <row r="16" spans="1:40" x14ac:dyDescent="0.3">
      <c r="A16" t="s">
        <v>9</v>
      </c>
      <c r="B16">
        <f>SUM(B9:K9)/10</f>
        <v>30703.9</v>
      </c>
      <c r="Q16" t="s">
        <v>28</v>
      </c>
      <c r="R16" s="3">
        <v>3.3227820018947349E-2</v>
      </c>
      <c r="S16" s="3">
        <v>3.5983447123665642E-2</v>
      </c>
      <c r="T16" s="3">
        <v>4.0027879467845029E-2</v>
      </c>
      <c r="U16" s="3">
        <v>4.5879265303198066E-2</v>
      </c>
      <c r="V16" s="3">
        <v>5.4879026812979896E-2</v>
      </c>
      <c r="W16" s="3">
        <v>6.5230868781925355E-2</v>
      </c>
      <c r="X16" s="3">
        <v>8.1156782060626098E-2</v>
      </c>
      <c r="Y16" s="3">
        <v>0.10682536130286935</v>
      </c>
      <c r="Z16" s="3">
        <v>0.16433402344781767</v>
      </c>
    </row>
    <row r="17" spans="1:66" x14ac:dyDescent="0.3">
      <c r="A17" t="s">
        <v>4</v>
      </c>
      <c r="B17">
        <f>SQRT(SUM(B13:K13/110))</f>
        <v>50.638398114833272</v>
      </c>
    </row>
    <row r="20" spans="1:66" x14ac:dyDescent="0.3">
      <c r="AS20" t="s">
        <v>35</v>
      </c>
      <c r="AT20" t="s">
        <v>36</v>
      </c>
      <c r="AU20" t="s">
        <v>37</v>
      </c>
    </row>
    <row r="21" spans="1:66" x14ac:dyDescent="0.3">
      <c r="AR21" t="s">
        <v>38</v>
      </c>
      <c r="AS21" t="s">
        <v>40</v>
      </c>
      <c r="AT21" t="s">
        <v>43</v>
      </c>
      <c r="AU21" t="s">
        <v>45</v>
      </c>
    </row>
    <row r="22" spans="1:66" x14ac:dyDescent="0.3">
      <c r="A22" t="s">
        <v>10</v>
      </c>
      <c r="B22" t="s">
        <v>12</v>
      </c>
      <c r="C22">
        <v>1</v>
      </c>
      <c r="D22">
        <v>2</v>
      </c>
      <c r="E22">
        <v>3</v>
      </c>
      <c r="F22">
        <v>4</v>
      </c>
      <c r="G22">
        <v>5</v>
      </c>
      <c r="H22">
        <v>6</v>
      </c>
      <c r="I22">
        <v>7</v>
      </c>
      <c r="J22">
        <v>8</v>
      </c>
      <c r="K22">
        <v>9</v>
      </c>
      <c r="L22">
        <v>10</v>
      </c>
      <c r="M22">
        <v>11</v>
      </c>
      <c r="P22" t="s">
        <v>15</v>
      </c>
      <c r="Q22" t="s">
        <v>16</v>
      </c>
      <c r="R22">
        <v>1</v>
      </c>
      <c r="S22">
        <v>2</v>
      </c>
      <c r="T22">
        <v>3</v>
      </c>
      <c r="U22">
        <v>4</v>
      </c>
      <c r="V22">
        <v>5</v>
      </c>
      <c r="W22">
        <v>6</v>
      </c>
      <c r="X22">
        <v>7</v>
      </c>
      <c r="Y22">
        <v>8</v>
      </c>
      <c r="Z22">
        <v>9</v>
      </c>
      <c r="AC22" t="s">
        <v>20</v>
      </c>
      <c r="AD22" t="s">
        <v>16</v>
      </c>
      <c r="AE22">
        <v>1</v>
      </c>
      <c r="AF22">
        <v>2</v>
      </c>
      <c r="AG22">
        <v>3</v>
      </c>
      <c r="AH22">
        <v>4</v>
      </c>
      <c r="AI22">
        <v>5</v>
      </c>
      <c r="AJ22">
        <v>6</v>
      </c>
      <c r="AK22">
        <v>7</v>
      </c>
      <c r="AL22">
        <v>8</v>
      </c>
      <c r="AM22">
        <v>9</v>
      </c>
      <c r="AN22">
        <v>10</v>
      </c>
      <c r="AR22" t="s">
        <v>39</v>
      </c>
      <c r="AS22" t="s">
        <v>41</v>
      </c>
      <c r="AT22" t="s">
        <v>42</v>
      </c>
      <c r="AU22" t="s">
        <v>44</v>
      </c>
    </row>
    <row r="23" spans="1:66" x14ac:dyDescent="0.3">
      <c r="A23" t="s">
        <v>11</v>
      </c>
      <c r="B23" t="s">
        <v>13</v>
      </c>
      <c r="C23">
        <f>C22*20</f>
        <v>20</v>
      </c>
      <c r="D23">
        <f t="shared" ref="D23:M23" si="3">D22*20</f>
        <v>40</v>
      </c>
      <c r="E23">
        <f t="shared" si="3"/>
        <v>60</v>
      </c>
      <c r="F23">
        <f t="shared" si="3"/>
        <v>80</v>
      </c>
      <c r="G23">
        <f t="shared" si="3"/>
        <v>100</v>
      </c>
      <c r="H23">
        <f t="shared" si="3"/>
        <v>120</v>
      </c>
      <c r="I23">
        <f t="shared" si="3"/>
        <v>140</v>
      </c>
      <c r="J23">
        <f t="shared" si="3"/>
        <v>160</v>
      </c>
      <c r="K23">
        <f t="shared" si="3"/>
        <v>180</v>
      </c>
      <c r="L23">
        <f t="shared" si="3"/>
        <v>200</v>
      </c>
      <c r="M23">
        <f t="shared" si="3"/>
        <v>220</v>
      </c>
      <c r="Q23" t="s">
        <v>13</v>
      </c>
      <c r="R23">
        <f>R22/0.2</f>
        <v>5</v>
      </c>
      <c r="S23">
        <f t="shared" ref="S23:Z23" si="4">S22/0.2</f>
        <v>10</v>
      </c>
      <c r="T23">
        <f t="shared" si="4"/>
        <v>15</v>
      </c>
      <c r="U23">
        <f t="shared" si="4"/>
        <v>20</v>
      </c>
      <c r="V23">
        <f t="shared" si="4"/>
        <v>25</v>
      </c>
      <c r="W23">
        <f t="shared" si="4"/>
        <v>30</v>
      </c>
      <c r="X23">
        <f t="shared" si="4"/>
        <v>35</v>
      </c>
      <c r="Y23">
        <f t="shared" si="4"/>
        <v>40</v>
      </c>
      <c r="Z23">
        <f t="shared" si="4"/>
        <v>45</v>
      </c>
      <c r="AD23" t="s">
        <v>13</v>
      </c>
      <c r="AE23">
        <f>AE22*10</f>
        <v>10</v>
      </c>
      <c r="AF23">
        <f t="shared" ref="AF23:AN23" si="5">AF22*10</f>
        <v>20</v>
      </c>
      <c r="AG23">
        <f t="shared" si="5"/>
        <v>30</v>
      </c>
      <c r="AH23">
        <f t="shared" si="5"/>
        <v>40</v>
      </c>
      <c r="AI23">
        <f t="shared" si="5"/>
        <v>50</v>
      </c>
      <c r="AJ23">
        <f t="shared" si="5"/>
        <v>60</v>
      </c>
      <c r="AK23">
        <f t="shared" si="5"/>
        <v>70</v>
      </c>
      <c r="AL23">
        <f t="shared" si="5"/>
        <v>80</v>
      </c>
      <c r="AM23">
        <f t="shared" si="5"/>
        <v>90</v>
      </c>
      <c r="AN23">
        <f t="shared" si="5"/>
        <v>100</v>
      </c>
    </row>
    <row r="24" spans="1:66" x14ac:dyDescent="0.3">
      <c r="B24" t="s">
        <v>14</v>
      </c>
      <c r="C24">
        <v>30704</v>
      </c>
      <c r="D24">
        <v>18042</v>
      </c>
      <c r="E24">
        <v>11295</v>
      </c>
      <c r="F24">
        <v>7166</v>
      </c>
      <c r="G24">
        <v>4472</v>
      </c>
      <c r="H24">
        <v>2845</v>
      </c>
      <c r="I24">
        <v>1878</v>
      </c>
      <c r="J24">
        <v>1242</v>
      </c>
      <c r="K24">
        <v>813</v>
      </c>
      <c r="L24">
        <v>553</v>
      </c>
      <c r="M24">
        <v>376</v>
      </c>
      <c r="Q24" t="s">
        <v>14</v>
      </c>
      <c r="R24">
        <v>26872</v>
      </c>
      <c r="S24">
        <v>13490</v>
      </c>
      <c r="T24">
        <v>6783</v>
      </c>
      <c r="U24">
        <v>3482</v>
      </c>
      <c r="V24">
        <v>1784</v>
      </c>
      <c r="W24">
        <v>1074</v>
      </c>
      <c r="X24">
        <v>644</v>
      </c>
      <c r="Y24">
        <v>393</v>
      </c>
      <c r="Z24">
        <v>231</v>
      </c>
      <c r="AD24" t="s">
        <v>14</v>
      </c>
      <c r="AE24">
        <v>26005</v>
      </c>
      <c r="AF24">
        <v>12953</v>
      </c>
      <c r="AG24">
        <v>6611</v>
      </c>
      <c r="AH24">
        <v>3388</v>
      </c>
      <c r="AI24">
        <v>1853</v>
      </c>
      <c r="AJ24">
        <v>1004</v>
      </c>
      <c r="AK24">
        <v>611</v>
      </c>
      <c r="AL24">
        <v>390</v>
      </c>
      <c r="AM24">
        <v>255</v>
      </c>
      <c r="AN24">
        <v>205</v>
      </c>
    </row>
    <row r="25" spans="1:66" x14ac:dyDescent="0.3">
      <c r="B25" t="s">
        <v>34</v>
      </c>
      <c r="C25">
        <f>C24-116</f>
        <v>30588</v>
      </c>
      <c r="D25">
        <f t="shared" ref="D25:M25" si="6">D24-116</f>
        <v>17926</v>
      </c>
      <c r="E25">
        <f t="shared" si="6"/>
        <v>11179</v>
      </c>
      <c r="F25">
        <f t="shared" si="6"/>
        <v>7050</v>
      </c>
      <c r="G25">
        <f t="shared" si="6"/>
        <v>4356</v>
      </c>
      <c r="H25">
        <f t="shared" si="6"/>
        <v>2729</v>
      </c>
      <c r="I25">
        <f t="shared" si="6"/>
        <v>1762</v>
      </c>
      <c r="J25">
        <f t="shared" si="6"/>
        <v>1126</v>
      </c>
      <c r="K25">
        <f t="shared" si="6"/>
        <v>697</v>
      </c>
      <c r="L25">
        <f t="shared" si="6"/>
        <v>437</v>
      </c>
      <c r="M25">
        <f t="shared" si="6"/>
        <v>260</v>
      </c>
      <c r="Q25" t="s">
        <v>17</v>
      </c>
      <c r="R25">
        <f>R24-106</f>
        <v>26766</v>
      </c>
      <c r="S25">
        <f t="shared" ref="S25:Z25" si="7">S24-106</f>
        <v>13384</v>
      </c>
      <c r="T25">
        <f t="shared" si="7"/>
        <v>6677</v>
      </c>
      <c r="U25">
        <f t="shared" si="7"/>
        <v>3376</v>
      </c>
      <c r="V25">
        <f t="shared" si="7"/>
        <v>1678</v>
      </c>
      <c r="W25">
        <f t="shared" si="7"/>
        <v>968</v>
      </c>
      <c r="X25">
        <f t="shared" si="7"/>
        <v>538</v>
      </c>
      <c r="Y25">
        <f t="shared" si="7"/>
        <v>287</v>
      </c>
      <c r="Z25">
        <f t="shared" si="7"/>
        <v>125</v>
      </c>
      <c r="AD25" t="s">
        <v>17</v>
      </c>
      <c r="AE25">
        <f>AE24-106</f>
        <v>25899</v>
      </c>
      <c r="AF25">
        <f t="shared" ref="AF25:AN25" si="8">AF24-106</f>
        <v>12847</v>
      </c>
      <c r="AG25">
        <f t="shared" si="8"/>
        <v>6505</v>
      </c>
      <c r="AH25">
        <f t="shared" si="8"/>
        <v>3282</v>
      </c>
      <c r="AI25">
        <f t="shared" si="8"/>
        <v>1747</v>
      </c>
      <c r="AJ25">
        <f t="shared" si="8"/>
        <v>898</v>
      </c>
      <c r="AK25">
        <f t="shared" si="8"/>
        <v>505</v>
      </c>
      <c r="AL25">
        <f t="shared" si="8"/>
        <v>284</v>
      </c>
      <c r="AM25">
        <f t="shared" si="8"/>
        <v>149</v>
      </c>
      <c r="AN25">
        <f t="shared" si="8"/>
        <v>99</v>
      </c>
    </row>
    <row r="26" spans="1:66" x14ac:dyDescent="0.3">
      <c r="B26" t="s">
        <v>18</v>
      </c>
      <c r="C26" s="3">
        <f>LN(C25)</f>
        <v>10.328363054164116</v>
      </c>
      <c r="D26" s="3">
        <f t="shared" ref="D26:M26" si="9">LN(D25)</f>
        <v>9.7940074519173077</v>
      </c>
      <c r="E26" s="3">
        <f t="shared" si="9"/>
        <v>9.321792297270326</v>
      </c>
      <c r="F26" s="3">
        <f t="shared" si="9"/>
        <v>8.8607828958063148</v>
      </c>
      <c r="G26" s="3">
        <f t="shared" si="9"/>
        <v>8.3793094840528504</v>
      </c>
      <c r="H26" s="3">
        <f t="shared" si="9"/>
        <v>7.9116905207083388</v>
      </c>
      <c r="I26" s="3">
        <f t="shared" si="9"/>
        <v>7.4742048064961244</v>
      </c>
      <c r="J26" s="3">
        <f t="shared" si="9"/>
        <v>7.026426808699636</v>
      </c>
      <c r="K26" s="3">
        <f t="shared" si="9"/>
        <v>6.5467854107605241</v>
      </c>
      <c r="L26" s="3">
        <f t="shared" si="9"/>
        <v>6.0799331950955899</v>
      </c>
      <c r="M26" s="3">
        <f t="shared" si="9"/>
        <v>5.5606816310155276</v>
      </c>
      <c r="Q26" t="s">
        <v>19</v>
      </c>
      <c r="R26">
        <f t="shared" ref="R26:Z26" si="10">LN(R25)</f>
        <v>10.19488770435632</v>
      </c>
      <c r="S26">
        <f t="shared" si="10"/>
        <v>9.5018152426666607</v>
      </c>
      <c r="T26">
        <f t="shared" si="10"/>
        <v>8.8064240638578681</v>
      </c>
      <c r="U26">
        <f t="shared" si="10"/>
        <v>8.1244468557158473</v>
      </c>
      <c r="V26">
        <f t="shared" si="10"/>
        <v>7.4253578870271513</v>
      </c>
      <c r="W26">
        <f t="shared" si="10"/>
        <v>6.8752320872765766</v>
      </c>
      <c r="X26">
        <f t="shared" si="10"/>
        <v>6.2878585601617845</v>
      </c>
      <c r="Y26">
        <f t="shared" si="10"/>
        <v>5.6594822157596214</v>
      </c>
      <c r="Z26">
        <f t="shared" si="10"/>
        <v>4.8283137373023015</v>
      </c>
      <c r="AD26" t="s">
        <v>19</v>
      </c>
      <c r="AE26">
        <f>LN(AE25)</f>
        <v>10.161959636903632</v>
      </c>
      <c r="AF26">
        <f t="shared" ref="AF26:AN26" si="11">LN(AF25)</f>
        <v>9.4608656000316103</v>
      </c>
      <c r="AG26">
        <f t="shared" si="11"/>
        <v>8.7803263909466054</v>
      </c>
      <c r="AH26">
        <f t="shared" si="11"/>
        <v>8.0962082716500365</v>
      </c>
      <c r="AI26">
        <f t="shared" si="11"/>
        <v>7.4656553101340561</v>
      </c>
      <c r="AJ26">
        <f t="shared" si="11"/>
        <v>6.8001700683021999</v>
      </c>
      <c r="AK26">
        <f t="shared" si="11"/>
        <v>6.2245584292753602</v>
      </c>
      <c r="AL26">
        <f t="shared" si="11"/>
        <v>5.6489742381612063</v>
      </c>
      <c r="AM26">
        <f t="shared" si="11"/>
        <v>5.0039463059454592</v>
      </c>
      <c r="AN26">
        <f t="shared" si="11"/>
        <v>4.5951198501345898</v>
      </c>
    </row>
    <row r="27" spans="1:66" x14ac:dyDescent="0.3">
      <c r="B27" t="s">
        <v>8</v>
      </c>
      <c r="C27">
        <v>20</v>
      </c>
      <c r="D27">
        <v>40</v>
      </c>
      <c r="E27" s="1">
        <v>60</v>
      </c>
      <c r="F27" s="1">
        <v>80</v>
      </c>
      <c r="G27" s="1">
        <v>100</v>
      </c>
      <c r="H27" s="1">
        <v>120</v>
      </c>
      <c r="I27" s="1">
        <v>140</v>
      </c>
      <c r="J27" s="1">
        <v>160</v>
      </c>
      <c r="K27" s="1">
        <v>180</v>
      </c>
      <c r="L27" s="1">
        <v>200</v>
      </c>
      <c r="M27" s="1">
        <v>220</v>
      </c>
      <c r="N27" s="1"/>
      <c r="O27" s="1"/>
      <c r="Q27" t="s">
        <v>8</v>
      </c>
      <c r="R27">
        <v>5</v>
      </c>
      <c r="S27">
        <v>10</v>
      </c>
      <c r="T27">
        <v>15</v>
      </c>
      <c r="U27">
        <v>20</v>
      </c>
      <c r="V27">
        <v>25</v>
      </c>
      <c r="W27">
        <v>30</v>
      </c>
      <c r="X27">
        <v>35</v>
      </c>
      <c r="Y27">
        <v>40</v>
      </c>
      <c r="Z27">
        <v>45</v>
      </c>
      <c r="AD27" t="s">
        <v>8</v>
      </c>
      <c r="AE27">
        <v>10</v>
      </c>
      <c r="AF27">
        <v>20</v>
      </c>
      <c r="AG27">
        <v>30</v>
      </c>
      <c r="AH27">
        <v>40</v>
      </c>
      <c r="AI27">
        <v>50</v>
      </c>
      <c r="AJ27">
        <v>60</v>
      </c>
      <c r="AK27">
        <v>70</v>
      </c>
      <c r="AL27">
        <v>80</v>
      </c>
      <c r="AM27">
        <v>90</v>
      </c>
      <c r="AN27">
        <v>100</v>
      </c>
    </row>
    <row r="28" spans="1:66" x14ac:dyDescent="0.3">
      <c r="B28" t="s">
        <v>25</v>
      </c>
      <c r="C28" s="3">
        <f>-C26 + LN($Q$4)</f>
        <v>0.40977124120565733</v>
      </c>
      <c r="D28" s="3">
        <f t="shared" ref="D28:M28" si="12">-D26 + LN($Q$4)</f>
        <v>0.94412684345246589</v>
      </c>
      <c r="E28" s="3">
        <f t="shared" si="12"/>
        <v>1.4163419980994476</v>
      </c>
      <c r="F28" s="3">
        <f t="shared" si="12"/>
        <v>1.8773513995634588</v>
      </c>
      <c r="G28" s="3">
        <f t="shared" si="12"/>
        <v>2.3588248113169232</v>
      </c>
      <c r="H28" s="3">
        <f t="shared" si="12"/>
        <v>2.8264437746614348</v>
      </c>
      <c r="I28" s="3">
        <f t="shared" si="12"/>
        <v>3.2639294888736492</v>
      </c>
      <c r="J28" s="3">
        <f t="shared" si="12"/>
        <v>3.7117074866701376</v>
      </c>
      <c r="K28" s="3">
        <f t="shared" si="12"/>
        <v>4.1913488846092495</v>
      </c>
      <c r="L28" s="3">
        <f t="shared" si="12"/>
        <v>4.6582011002741837</v>
      </c>
      <c r="M28" s="3">
        <f t="shared" si="12"/>
        <v>5.177452664354246</v>
      </c>
      <c r="N28" s="1"/>
      <c r="O28" s="1"/>
      <c r="Q28" t="s">
        <v>26</v>
      </c>
      <c r="R28">
        <f>-R26 + LN($Q$4)</f>
        <v>0.54324659101345318</v>
      </c>
      <c r="S28">
        <f t="shared" ref="S28:Z28" si="13">-S26 + LN($Q$4)</f>
        <v>1.2363190527031129</v>
      </c>
      <c r="T28">
        <f t="shared" si="13"/>
        <v>1.9317102315119055</v>
      </c>
      <c r="U28">
        <f t="shared" si="13"/>
        <v>2.6136874396539262</v>
      </c>
      <c r="V28">
        <f t="shared" si="13"/>
        <v>3.3127764083426223</v>
      </c>
      <c r="W28">
        <f t="shared" si="13"/>
        <v>3.862902208093197</v>
      </c>
      <c r="X28">
        <f t="shared" si="13"/>
        <v>4.4502757352079891</v>
      </c>
      <c r="Y28">
        <f t="shared" si="13"/>
        <v>5.0786520796101522</v>
      </c>
      <c r="Z28">
        <f t="shared" si="13"/>
        <v>5.9098205580674721</v>
      </c>
      <c r="AD28" t="s">
        <v>27</v>
      </c>
      <c r="AE28">
        <f>-AE26 + LN($Q$4)</f>
        <v>0.57617465846614202</v>
      </c>
      <c r="AF28">
        <f t="shared" ref="AF28:AN28" si="14">-AF26 + LN($Q$4)</f>
        <v>1.2772686953381633</v>
      </c>
      <c r="AG28">
        <f t="shared" si="14"/>
        <v>1.9578079044231682</v>
      </c>
      <c r="AH28">
        <f t="shared" si="14"/>
        <v>2.6419260237197371</v>
      </c>
      <c r="AI28">
        <f t="shared" si="14"/>
        <v>3.2724789852357175</v>
      </c>
      <c r="AJ28">
        <f t="shared" si="14"/>
        <v>3.9379642270675737</v>
      </c>
      <c r="AK28">
        <f t="shared" si="14"/>
        <v>4.5135758660944134</v>
      </c>
      <c r="AL28">
        <f t="shared" si="14"/>
        <v>5.0891600572085673</v>
      </c>
      <c r="AM28">
        <f t="shared" si="14"/>
        <v>5.7341879894243144</v>
      </c>
      <c r="AN28">
        <f t="shared" si="14"/>
        <v>6.1430144452351838</v>
      </c>
    </row>
    <row r="29" spans="1:66" x14ac:dyDescent="0.3">
      <c r="B29" t="s">
        <v>28</v>
      </c>
      <c r="C29" s="3">
        <f>1/SQRT(C25) + 6/C25 + 1237/46000</f>
        <v>3.280520044318877E-2</v>
      </c>
      <c r="D29" s="3">
        <f t="shared" ref="D29:M29" si="15">1/SQRT(D25) + 6/D25 + 1237/46000</f>
        <v>3.4694942242856165E-2</v>
      </c>
      <c r="E29" s="3">
        <f t="shared" si="15"/>
        <v>3.688600782912313E-2</v>
      </c>
      <c r="F29" s="3">
        <f t="shared" si="15"/>
        <v>3.9652194861121592E-2</v>
      </c>
      <c r="G29" s="3">
        <f t="shared" si="15"/>
        <v>4.3420229967660803E-2</v>
      </c>
      <c r="H29" s="3">
        <f t="shared" si="15"/>
        <v>4.8232393225230229E-2</v>
      </c>
      <c r="I29" s="3">
        <f t="shared" si="15"/>
        <v>5.4119558447502998E-2</v>
      </c>
      <c r="J29" s="3">
        <f t="shared" si="15"/>
        <v>6.2020898904775495E-2</v>
      </c>
      <c r="K29" s="3">
        <f t="shared" si="15"/>
        <v>7.3377326679086016E-2</v>
      </c>
      <c r="L29" s="3">
        <f t="shared" si="15"/>
        <v>8.8457768788024874E-2</v>
      </c>
      <c r="M29" s="3">
        <f t="shared" si="15"/>
        <v>0.1119855947193534</v>
      </c>
      <c r="N29" s="1"/>
      <c r="O29" s="1"/>
      <c r="Q29" t="s">
        <v>28</v>
      </c>
      <c r="R29">
        <f>6/R25 + 1237/46000 + 1/SQRT(R25)</f>
        <v>3.3227820018947349E-2</v>
      </c>
      <c r="S29">
        <f t="shared" ref="S29:Z29" si="16">6/S25 + 1237/46000 + 1/SQRT(S25)</f>
        <v>3.5983447123665642E-2</v>
      </c>
      <c r="T29">
        <f t="shared" si="16"/>
        <v>4.0027879467845029E-2</v>
      </c>
      <c r="U29">
        <f t="shared" si="16"/>
        <v>4.5879265303198066E-2</v>
      </c>
      <c r="V29">
        <f t="shared" si="16"/>
        <v>5.4879026812979896E-2</v>
      </c>
      <c r="W29">
        <f t="shared" si="16"/>
        <v>6.5230868781925355E-2</v>
      </c>
      <c r="X29">
        <f t="shared" si="16"/>
        <v>8.1156782060626098E-2</v>
      </c>
      <c r="Y29">
        <f t="shared" si="16"/>
        <v>0.10682536130286935</v>
      </c>
      <c r="Z29">
        <f t="shared" si="16"/>
        <v>0.16433402344781767</v>
      </c>
      <c r="AD29" t="s">
        <v>28</v>
      </c>
      <c r="AE29">
        <f>6/AE25 + 1237/46000 + 1/SQRT(AE25)</f>
        <v>3.3336791143281176E-2</v>
      </c>
      <c r="AF29">
        <f t="shared" ref="AF29:AN29" si="17">6/AF25 + 1237/46000 + 1/SQRT(AF25)</f>
        <v>3.6180991222769146E-2</v>
      </c>
      <c r="AG29">
        <f t="shared" si="17"/>
        <v>4.0212377400203773E-2</v>
      </c>
      <c r="AH29">
        <f t="shared" si="17"/>
        <v>4.6174894338566495E-2</v>
      </c>
      <c r="AI29">
        <f t="shared" si="17"/>
        <v>5.425085162201769E-2</v>
      </c>
      <c r="AJ29">
        <f t="shared" si="17"/>
        <v>6.6943251037740792E-2</v>
      </c>
      <c r="AK29">
        <f t="shared" si="17"/>
        <v>8.3271908415636448E-2</v>
      </c>
      <c r="AL29">
        <f t="shared" si="17"/>
        <v>0.10735714782089903</v>
      </c>
      <c r="AM29">
        <f t="shared" si="17"/>
        <v>0.14908295277556907</v>
      </c>
      <c r="AN29">
        <f t="shared" si="17"/>
        <v>0.18800114647980792</v>
      </c>
    </row>
    <row r="31" spans="1:66" x14ac:dyDescent="0.3">
      <c r="B31" t="s">
        <v>29</v>
      </c>
      <c r="C31">
        <f>(SUM(C23:M23)/11)^2</f>
        <v>14400</v>
      </c>
      <c r="Q31" t="s">
        <v>29</v>
      </c>
      <c r="R31">
        <f>(SUM(R23:Z23)/9)^2</f>
        <v>625</v>
      </c>
      <c r="AD31" t="s">
        <v>29</v>
      </c>
      <c r="AE31">
        <f>(SUM(AE23:AN23)/10)^2</f>
        <v>3025</v>
      </c>
    </row>
    <row r="32" spans="1:66" x14ac:dyDescent="0.3">
      <c r="C32">
        <f>C23*C23</f>
        <v>400</v>
      </c>
      <c r="D32">
        <f t="shared" ref="D32:M32" si="18">D23*D23</f>
        <v>1600</v>
      </c>
      <c r="E32">
        <f t="shared" si="18"/>
        <v>3600</v>
      </c>
      <c r="F32">
        <f t="shared" si="18"/>
        <v>6400</v>
      </c>
      <c r="G32">
        <f t="shared" si="18"/>
        <v>10000</v>
      </c>
      <c r="H32">
        <f t="shared" si="18"/>
        <v>14400</v>
      </c>
      <c r="I32">
        <f t="shared" si="18"/>
        <v>19600</v>
      </c>
      <c r="J32">
        <f t="shared" si="18"/>
        <v>25600</v>
      </c>
      <c r="K32">
        <f t="shared" si="18"/>
        <v>32400</v>
      </c>
      <c r="L32">
        <f t="shared" si="18"/>
        <v>40000</v>
      </c>
      <c r="M32">
        <f t="shared" si="18"/>
        <v>48400</v>
      </c>
      <c r="R32">
        <f>R27*R27</f>
        <v>25</v>
      </c>
      <c r="S32">
        <f t="shared" ref="S32:Z32" si="19">S27*S27</f>
        <v>100</v>
      </c>
      <c r="T32">
        <f t="shared" si="19"/>
        <v>225</v>
      </c>
      <c r="U32">
        <f t="shared" si="19"/>
        <v>400</v>
      </c>
      <c r="V32">
        <f t="shared" si="19"/>
        <v>625</v>
      </c>
      <c r="W32">
        <f t="shared" si="19"/>
        <v>900</v>
      </c>
      <c r="X32">
        <f t="shared" si="19"/>
        <v>1225</v>
      </c>
      <c r="Y32">
        <f t="shared" si="19"/>
        <v>1600</v>
      </c>
      <c r="Z32">
        <f t="shared" si="19"/>
        <v>2025</v>
      </c>
      <c r="AE32">
        <f>AE23*AE23</f>
        <v>100</v>
      </c>
      <c r="AF32">
        <f t="shared" ref="AF32:AN32" si="20">AF23*AF23</f>
        <v>400</v>
      </c>
      <c r="AG32">
        <f t="shared" si="20"/>
        <v>900</v>
      </c>
      <c r="AH32">
        <f t="shared" si="20"/>
        <v>1600</v>
      </c>
      <c r="AI32">
        <f t="shared" si="20"/>
        <v>2500</v>
      </c>
      <c r="AJ32">
        <f t="shared" si="20"/>
        <v>3600</v>
      </c>
      <c r="AK32">
        <f t="shared" si="20"/>
        <v>4900</v>
      </c>
      <c r="AL32">
        <f t="shared" si="20"/>
        <v>6400</v>
      </c>
      <c r="AM32">
        <f t="shared" si="20"/>
        <v>8100</v>
      </c>
      <c r="AN32">
        <f t="shared" si="20"/>
        <v>10000</v>
      </c>
      <c r="AS32" s="4" t="s">
        <v>46</v>
      </c>
      <c r="AT32" s="4" t="s">
        <v>47</v>
      </c>
      <c r="AW32" s="4" t="s">
        <v>46</v>
      </c>
      <c r="AX32" s="4">
        <v>25454</v>
      </c>
      <c r="AY32" s="4">
        <v>25304</v>
      </c>
      <c r="AZ32" s="4">
        <v>24996</v>
      </c>
      <c r="BA32" s="4">
        <v>24712</v>
      </c>
      <c r="BB32" s="4">
        <v>24910</v>
      </c>
      <c r="BD32" t="s">
        <v>52</v>
      </c>
      <c r="BE32">
        <f>SUM(AX32:BB32)/5</f>
        <v>25075.200000000001</v>
      </c>
      <c r="BG32" t="s">
        <v>53</v>
      </c>
      <c r="BH32">
        <f t="shared" ref="BH32:BH35" si="21">SQRT(SUM(BJ32:BN32)/30)</f>
        <v>109.74467337111781</v>
      </c>
      <c r="BJ32">
        <f>($BE32-AX32)^2</f>
        <v>143489.43999999945</v>
      </c>
      <c r="BK32">
        <f t="shared" ref="BK32:BO39" si="22">($BE32-AY32)^2</f>
        <v>52349.439999999668</v>
      </c>
      <c r="BL32">
        <f t="shared" si="22"/>
        <v>6272.6400000001149</v>
      </c>
      <c r="BM32">
        <f t="shared" si="22"/>
        <v>131914.24000000051</v>
      </c>
      <c r="BN32">
        <f t="shared" si="22"/>
        <v>27291.040000000241</v>
      </c>
    </row>
    <row r="33" spans="2:66" x14ac:dyDescent="0.3">
      <c r="B33" t="s">
        <v>30</v>
      </c>
      <c r="C33">
        <f>SUM(C32:M32)/11</f>
        <v>18400</v>
      </c>
      <c r="Q33" t="s">
        <v>30</v>
      </c>
      <c r="R33">
        <f>SUM(R32:Z32)/9</f>
        <v>791.66666666666663</v>
      </c>
      <c r="AD33" t="s">
        <v>30</v>
      </c>
      <c r="AE33">
        <f>SUM(AE32:AN32)/10</f>
        <v>3850</v>
      </c>
      <c r="AS33" s="4">
        <v>25454</v>
      </c>
      <c r="AT33" s="4">
        <v>26474</v>
      </c>
      <c r="AW33" s="4" t="s">
        <v>47</v>
      </c>
      <c r="AX33" s="4">
        <v>26474</v>
      </c>
      <c r="AY33" s="4">
        <v>26400</v>
      </c>
      <c r="AZ33" s="4">
        <v>26118</v>
      </c>
      <c r="BA33" s="4">
        <v>26291</v>
      </c>
      <c r="BB33" s="4">
        <v>25718</v>
      </c>
      <c r="BD33" t="s">
        <v>52</v>
      </c>
      <c r="BE33">
        <f t="shared" ref="BE33:BE39" si="23">SUM(AX33:BB33)/5</f>
        <v>26200.2</v>
      </c>
      <c r="BG33" t="s">
        <v>53</v>
      </c>
      <c r="BH33">
        <f t="shared" si="21"/>
        <v>109.90978118438777</v>
      </c>
      <c r="BJ33">
        <f t="shared" ref="BJ33:BJ39" si="24">($BE33-AX33)^2</f>
        <v>74966.439999999595</v>
      </c>
      <c r="BK33">
        <f t="shared" si="22"/>
        <v>39920.03999999971</v>
      </c>
      <c r="BL33">
        <f t="shared" si="22"/>
        <v>6756.8400000001193</v>
      </c>
      <c r="BM33">
        <f t="shared" si="22"/>
        <v>8244.6399999998685</v>
      </c>
      <c r="BN33">
        <f t="shared" si="22"/>
        <v>232516.84000000069</v>
      </c>
    </row>
    <row r="34" spans="2:66" x14ac:dyDescent="0.3">
      <c r="AS34" s="4">
        <v>25304</v>
      </c>
      <c r="AT34" s="4">
        <v>26400</v>
      </c>
      <c r="BH34">
        <f t="shared" si="21"/>
        <v>0</v>
      </c>
    </row>
    <row r="35" spans="2:66" x14ac:dyDescent="0.3">
      <c r="B35" t="s">
        <v>31</v>
      </c>
      <c r="C35">
        <f>(SUM(C28:M28)/11)^2</f>
        <v>7.8580829861321426</v>
      </c>
      <c r="Q35" t="s">
        <v>31</v>
      </c>
      <c r="R35">
        <f>(SUM(R28:Z28)/9)^2</f>
        <v>10.339361866407984</v>
      </c>
      <c r="AD35" t="s">
        <v>31</v>
      </c>
      <c r="AE35">
        <f>(SUM(AE28:AN28)/10)^2</f>
        <v>12.35069728798957</v>
      </c>
      <c r="AS35" s="4">
        <v>24996</v>
      </c>
      <c r="AT35" s="4">
        <v>26118</v>
      </c>
      <c r="AW35" s="4" t="s">
        <v>48</v>
      </c>
      <c r="AX35">
        <v>25188</v>
      </c>
      <c r="AY35">
        <v>24785</v>
      </c>
      <c r="AZ35">
        <v>24954</v>
      </c>
      <c r="BA35">
        <v>25251</v>
      </c>
      <c r="BB35">
        <v>24815</v>
      </c>
      <c r="BD35" t="s">
        <v>52</v>
      </c>
      <c r="BE35">
        <f t="shared" si="23"/>
        <v>24998.6</v>
      </c>
      <c r="BG35" t="s">
        <v>53</v>
      </c>
      <c r="BH35">
        <f t="shared" si="21"/>
        <v>77.653332188644683</v>
      </c>
      <c r="BJ35">
        <f>($BE$35-AX35)^2</f>
        <v>35872.360000000554</v>
      </c>
      <c r="BK35">
        <f t="shared" ref="BK35:BN35" si="25">($BE$35-AY35)^2</f>
        <v>45624.959999999381</v>
      </c>
      <c r="BL35">
        <f t="shared" si="25"/>
        <v>1989.1599999998703</v>
      </c>
      <c r="BM35">
        <f t="shared" si="25"/>
        <v>63705.760000000737</v>
      </c>
      <c r="BN35">
        <f t="shared" si="25"/>
        <v>33708.959999999468</v>
      </c>
    </row>
    <row r="36" spans="2:66" x14ac:dyDescent="0.3">
      <c r="C36">
        <f>C28*C28</f>
        <v>0.167912470119225</v>
      </c>
      <c r="D36">
        <f t="shared" ref="D36:M36" si="26">D28*D28</f>
        <v>0.89137549652751702</v>
      </c>
      <c r="E36">
        <f t="shared" si="26"/>
        <v>2.0060246555803358</v>
      </c>
      <c r="F36">
        <f t="shared" si="26"/>
        <v>3.5244482774428776</v>
      </c>
      <c r="G36">
        <f t="shared" si="26"/>
        <v>5.5640544904843185</v>
      </c>
      <c r="H36">
        <f t="shared" si="26"/>
        <v>7.9887844113223796</v>
      </c>
      <c r="I36">
        <f t="shared" si="26"/>
        <v>10.653235708339</v>
      </c>
      <c r="J36">
        <f t="shared" si="26"/>
        <v>13.77677246660315</v>
      </c>
      <c r="K36">
        <f t="shared" si="26"/>
        <v>17.567405472515201</v>
      </c>
      <c r="L36">
        <f t="shared" si="26"/>
        <v>21.698837490595615</v>
      </c>
      <c r="M36">
        <f t="shared" si="26"/>
        <v>26.80601609162888</v>
      </c>
      <c r="R36">
        <f>R28*R28</f>
        <v>0.29511685864773807</v>
      </c>
      <c r="S36">
        <f t="shared" ref="S36:Z36" si="27">S28*S28</f>
        <v>1.5284848000767226</v>
      </c>
      <c r="T36">
        <f t="shared" si="27"/>
        <v>3.7315044185277793</v>
      </c>
      <c r="U36">
        <f t="shared" si="27"/>
        <v>6.8313620322046962</v>
      </c>
      <c r="V36">
        <f t="shared" si="27"/>
        <v>10.974487531671445</v>
      </c>
      <c r="W36">
        <f t="shared" si="27"/>
        <v>14.922013469291297</v>
      </c>
      <c r="X36">
        <f t="shared" si="27"/>
        <v>19.804954119381009</v>
      </c>
      <c r="Y36">
        <f t="shared" si="27"/>
        <v>25.792706945728522</v>
      </c>
      <c r="Z36">
        <f t="shared" si="27"/>
        <v>34.925979028556924</v>
      </c>
      <c r="AE36">
        <f>AE28*AE28</f>
        <v>0.3319772370585754</v>
      </c>
      <c r="AF36">
        <f t="shared" ref="AF36:AN36" si="28">AF28*AF28</f>
        <v>1.6314153200908539</v>
      </c>
      <c r="AG36">
        <f t="shared" si="28"/>
        <v>3.8330117906218373</v>
      </c>
      <c r="AH36">
        <f t="shared" si="28"/>
        <v>6.979773114807581</v>
      </c>
      <c r="AI36">
        <f t="shared" si="28"/>
        <v>10.709118708809392</v>
      </c>
      <c r="AJ36">
        <f t="shared" si="28"/>
        <v>15.507562253663913</v>
      </c>
      <c r="AK36">
        <f t="shared" si="28"/>
        <v>20.372367098989933</v>
      </c>
      <c r="AL36">
        <f t="shared" si="28"/>
        <v>25.899550087887107</v>
      </c>
      <c r="AM36">
        <f t="shared" si="28"/>
        <v>32.880911898058059</v>
      </c>
      <c r="AN36">
        <f t="shared" si="28"/>
        <v>37.73662647436813</v>
      </c>
      <c r="AS36" s="4">
        <v>24712</v>
      </c>
      <c r="AT36" s="4">
        <v>26291</v>
      </c>
      <c r="AW36" s="4" t="s">
        <v>49</v>
      </c>
      <c r="AX36">
        <v>25121</v>
      </c>
      <c r="AY36">
        <v>25658</v>
      </c>
      <c r="AZ36">
        <v>25264</v>
      </c>
      <c r="BA36">
        <v>25445</v>
      </c>
      <c r="BB36">
        <v>25212</v>
      </c>
      <c r="BD36" t="s">
        <v>52</v>
      </c>
      <c r="BE36">
        <f t="shared" si="23"/>
        <v>25340</v>
      </c>
      <c r="BG36" t="s">
        <v>53</v>
      </c>
      <c r="BH36">
        <f>SQRT(SUM(BJ36:BN36)/30)</f>
        <v>77.94656289193685</v>
      </c>
      <c r="BJ36">
        <f t="shared" si="24"/>
        <v>47961</v>
      </c>
      <c r="BK36">
        <f t="shared" si="22"/>
        <v>101124</v>
      </c>
      <c r="BL36">
        <f t="shared" si="22"/>
        <v>5776</v>
      </c>
      <c r="BM36">
        <f t="shared" si="22"/>
        <v>11025</v>
      </c>
      <c r="BN36">
        <f t="shared" si="22"/>
        <v>16384</v>
      </c>
    </row>
    <row r="37" spans="2:66" x14ac:dyDescent="0.3">
      <c r="B37" t="s">
        <v>32</v>
      </c>
      <c r="C37">
        <f>SUM(C36:M36)/11</f>
        <v>10.058624275559865</v>
      </c>
      <c r="Q37" t="s">
        <v>32</v>
      </c>
      <c r="R37">
        <f>SUM(R36:Z36)/9</f>
        <v>13.200734356009569</v>
      </c>
      <c r="AD37" t="s">
        <v>32</v>
      </c>
      <c r="AE37">
        <f>SUM(AE36:AN36)/10</f>
        <v>15.588231398435539</v>
      </c>
      <c r="AS37" s="4">
        <v>24910</v>
      </c>
      <c r="AT37" s="4">
        <v>25718</v>
      </c>
    </row>
    <row r="38" spans="2:66" x14ac:dyDescent="0.3">
      <c r="AW38" s="4" t="s">
        <v>50</v>
      </c>
      <c r="AX38">
        <v>30771</v>
      </c>
      <c r="AY38">
        <v>30354</v>
      </c>
      <c r="AZ38">
        <v>30230</v>
      </c>
      <c r="BA38">
        <v>30384</v>
      </c>
      <c r="BB38">
        <v>30484</v>
      </c>
      <c r="BD38" t="s">
        <v>52</v>
      </c>
      <c r="BE38">
        <f>SUM(AX38:BB38)/5</f>
        <v>30444.6</v>
      </c>
      <c r="BG38" t="s">
        <v>53</v>
      </c>
      <c r="BH38">
        <f t="shared" ref="BH37:BH39" si="29">SQRT(SUM(BJ38:BN38)/30)</f>
        <v>74.391576584090927</v>
      </c>
      <c r="BJ38">
        <f t="shared" si="24"/>
        <v>106536.96000000095</v>
      </c>
      <c r="BK38">
        <f t="shared" si="22"/>
        <v>8208.3599999997368</v>
      </c>
      <c r="BL38">
        <f t="shared" si="22"/>
        <v>46053.159999999378</v>
      </c>
      <c r="BM38">
        <f t="shared" si="22"/>
        <v>3672.3599999998237</v>
      </c>
      <c r="BN38">
        <f t="shared" si="22"/>
        <v>1552.3600000001147</v>
      </c>
    </row>
    <row r="39" spans="2:66" x14ac:dyDescent="0.3">
      <c r="B39" t="s">
        <v>33</v>
      </c>
      <c r="C39">
        <f>SQRT((0.0235^2 - (C37 - C35)/(C33 - C31))/11 )</f>
        <v>4.3845572421537092E-4</v>
      </c>
      <c r="Q39" t="s">
        <v>33</v>
      </c>
      <c r="R39">
        <f>SQRT(-0.131*0.131  + (R37 -R35)/(R33 - R31))</f>
        <v>2.6897839336111479E-3</v>
      </c>
      <c r="AD39" t="s">
        <v>33</v>
      </c>
      <c r="AE39">
        <f>SQRT(-0.0626*0.0626 + (AE37 - AE35)/(AE33 - AE31))</f>
        <v>2.3502702477668702E-3</v>
      </c>
      <c r="AW39" s="4" t="s">
        <v>51</v>
      </c>
      <c r="AX39">
        <v>31044</v>
      </c>
      <c r="AY39">
        <v>30443</v>
      </c>
      <c r="AZ39">
        <v>30506</v>
      </c>
      <c r="BA39">
        <v>30554</v>
      </c>
      <c r="BB39">
        <v>30363</v>
      </c>
      <c r="BD39" t="s">
        <v>52</v>
      </c>
      <c r="BE39">
        <f t="shared" si="23"/>
        <v>30582</v>
      </c>
      <c r="BG39" t="s">
        <v>53</v>
      </c>
      <c r="BH39">
        <f t="shared" si="29"/>
        <v>97.858060475364013</v>
      </c>
      <c r="BJ39">
        <f t="shared" si="24"/>
        <v>213444</v>
      </c>
      <c r="BK39">
        <f t="shared" si="22"/>
        <v>19321</v>
      </c>
      <c r="BL39">
        <f t="shared" si="22"/>
        <v>5776</v>
      </c>
      <c r="BM39">
        <f t="shared" si="22"/>
        <v>784</v>
      </c>
      <c r="BN39">
        <f t="shared" si="22"/>
        <v>47961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2018-11-22T21:42:53Z</dcterms:modified>
</cp:coreProperties>
</file>