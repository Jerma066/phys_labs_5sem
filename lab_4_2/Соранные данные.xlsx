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57" i="1" l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G18" i="1" l="1"/>
  <c r="AF18" i="1"/>
  <c r="W18" i="1"/>
  <c r="X18" i="1"/>
  <c r="Y18" i="1"/>
  <c r="Z18" i="1"/>
  <c r="AA18" i="1"/>
  <c r="AB18" i="1"/>
  <c r="AC18" i="1"/>
  <c r="AD18" i="1"/>
  <c r="A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E18" i="1"/>
  <c r="D18" i="1"/>
  <c r="C18" i="1"/>
  <c r="D105" i="1" l="1"/>
  <c r="D147" i="1" s="1"/>
  <c r="E105" i="1"/>
  <c r="F105" i="1"/>
  <c r="F147" i="1" s="1"/>
  <c r="G105" i="1"/>
  <c r="H105" i="1"/>
  <c r="H147" i="1" s="1"/>
  <c r="I105" i="1"/>
  <c r="J105" i="1"/>
  <c r="K105" i="1"/>
  <c r="L105" i="1"/>
  <c r="L147" i="1" s="1"/>
  <c r="M105" i="1"/>
  <c r="N105" i="1"/>
  <c r="O105" i="1"/>
  <c r="P105" i="1"/>
  <c r="P147" i="1" s="1"/>
  <c r="Q105" i="1"/>
  <c r="R105" i="1"/>
  <c r="S105" i="1"/>
  <c r="T105" i="1"/>
  <c r="T147" i="1" s="1"/>
  <c r="U105" i="1"/>
  <c r="V105" i="1"/>
  <c r="W105" i="1"/>
  <c r="X105" i="1"/>
  <c r="X147" i="1" s="1"/>
  <c r="Y105" i="1"/>
  <c r="Z105" i="1"/>
  <c r="AA105" i="1"/>
  <c r="AB105" i="1"/>
  <c r="AB147" i="1" s="1"/>
  <c r="AC105" i="1"/>
  <c r="AD105" i="1"/>
  <c r="AE105" i="1"/>
  <c r="AF105" i="1"/>
  <c r="AF147" i="1" s="1"/>
  <c r="AG105" i="1"/>
  <c r="C105" i="1"/>
  <c r="C147" i="1" s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E147" i="1"/>
  <c r="G147" i="1"/>
  <c r="I147" i="1"/>
  <c r="J147" i="1"/>
  <c r="K147" i="1"/>
  <c r="M147" i="1"/>
  <c r="N147" i="1"/>
  <c r="O147" i="1"/>
  <c r="Q147" i="1"/>
  <c r="R147" i="1"/>
  <c r="S147" i="1"/>
  <c r="U147" i="1"/>
  <c r="V147" i="1"/>
  <c r="W147" i="1"/>
  <c r="Y147" i="1"/>
  <c r="Z147" i="1"/>
  <c r="AA147" i="1"/>
  <c r="AC147" i="1"/>
  <c r="AD147" i="1"/>
  <c r="AE147" i="1"/>
  <c r="AG147" i="1"/>
  <c r="C57" i="1"/>
  <c r="B53" i="1"/>
  <c r="C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D102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C104" i="1"/>
  <c r="D17" i="1" l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C17" i="1" l="1"/>
</calcChain>
</file>

<file path=xl/sharedStrings.xml><?xml version="1.0" encoding="utf-8"?>
<sst xmlns="http://schemas.openxmlformats.org/spreadsheetml/2006/main" count="35" uniqueCount="18">
  <si>
    <t>ток накала 146 мА</t>
  </si>
  <si>
    <t>№</t>
  </si>
  <si>
    <t>I, А</t>
  </si>
  <si>
    <t>N, 1/с</t>
  </si>
  <si>
    <t>опыт по измерению</t>
  </si>
  <si>
    <t>t_{\text{изм}}</t>
  </si>
  <si>
    <t>$N_\text{ф}$</t>
  </si>
  <si>
    <t>d$N_\text{ф}$</t>
  </si>
  <si>
    <t>$t_{\text{изм}}$</t>
  </si>
  <si>
    <t>N - $N_\text{ф}$, 1/с</t>
  </si>
  <si>
    <t>p, г*см/(с*10^5)</t>
  </si>
  <si>
    <t xml:space="preserve">$m_e*c^2$, Мэв </t>
  </si>
  <si>
    <t>(pc)^2, МэВ</t>
  </si>
  <si>
    <t>E, кэВ</t>
  </si>
  <si>
    <t>k, кэВ/А</t>
  </si>
  <si>
    <t>$\dfrac{\sqrt{N}}{p}$</t>
  </si>
  <si>
    <t>p/с</t>
  </si>
  <si>
    <t>pog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</si>
</sst>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92870528594941E-2"/>
          <c:y val="9.3915714452907181E-2"/>
          <c:w val="0.89393533028350158"/>
          <c:h val="0.79365052148370097"/>
        </c:manualLayout>
      </c:layout>
      <c:scatterChart>
        <c:scatterStyle val="smoothMarker"/>
        <c:varyColors val="0"/>
        <c:ser>
          <c:idx val="0"/>
          <c:order val="0"/>
          <c:tx>
            <c:v>N(I)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3.0000000000000006E-2"/>
          </c:errBars>
          <c:errBars>
            <c:errDir val="y"/>
            <c:errBarType val="both"/>
            <c:errValType val="cust"/>
            <c:noEndCap val="0"/>
            <c:plus>
              <c:numRef>
                <c:f>Лист1!$C$18:$AG$18</c:f>
                <c:numCache>
                  <c:formatCode>General</c:formatCode>
                  <c:ptCount val="31"/>
                  <c:pt idx="0">
                    <c:v>3.824264635194588E-2</c:v>
                  </c:pt>
                  <c:pt idx="1">
                    <c:v>3.4820970692960293E-2</c:v>
                  </c:pt>
                  <c:pt idx="2">
                    <c:v>4.7958315233127199E-2</c:v>
                  </c:pt>
                  <c:pt idx="3">
                    <c:v>5.2678268764263687E-2</c:v>
                  </c:pt>
                  <c:pt idx="4">
                    <c:v>4.0926763859362253E-2</c:v>
                  </c:pt>
                  <c:pt idx="5">
                    <c:v>8.9022469073824287E-2</c:v>
                  </c:pt>
                  <c:pt idx="6">
                    <c:v>0.12791598805466031</c:v>
                  </c:pt>
                  <c:pt idx="7">
                    <c:v>0.19946804255318693</c:v>
                  </c:pt>
                  <c:pt idx="8">
                    <c:v>0.24515301344262524</c:v>
                  </c:pt>
                  <c:pt idx="9">
                    <c:v>0.28546015483776366</c:v>
                  </c:pt>
                  <c:pt idx="10">
                    <c:v>0.33365401241405745</c:v>
                  </c:pt>
                  <c:pt idx="11">
                    <c:v>0.36086701151532263</c:v>
                  </c:pt>
                  <c:pt idx="12">
                    <c:v>0.38004933890220094</c:v>
                  </c:pt>
                  <c:pt idx="13">
                    <c:v>0.36345563690772492</c:v>
                  </c:pt>
                  <c:pt idx="14">
                    <c:v>0.36022562374156564</c:v>
                  </c:pt>
                  <c:pt idx="15">
                    <c:v>0.33622908856908856</c:v>
                  </c:pt>
                  <c:pt idx="16">
                    <c:v>0.27515904491766208</c:v>
                  </c:pt>
                  <c:pt idx="17">
                    <c:v>0.22899235795108969</c:v>
                  </c:pt>
                  <c:pt idx="18">
                    <c:v>0.14983324063771697</c:v>
                  </c:pt>
                  <c:pt idx="19">
                    <c:v>0.13788582233137678</c:v>
                  </c:pt>
                  <c:pt idx="20">
                    <c:v>0.11434596626029271</c:v>
                  </c:pt>
                  <c:pt idx="21">
                    <c:v>0.29962476533157267</c:v>
                  </c:pt>
                  <c:pt idx="22">
                    <c:v>0.38454518590147502</c:v>
                  </c:pt>
                  <c:pt idx="23">
                    <c:v>0.39460423211111151</c:v>
                  </c:pt>
                  <c:pt idx="24">
                    <c:v>0.40530852446007098</c:v>
                  </c:pt>
                  <c:pt idx="25">
                    <c:v>0.40604802671605239</c:v>
                  </c:pt>
                  <c:pt idx="26">
                    <c:v>0.38091993909481814</c:v>
                  </c:pt>
                  <c:pt idx="27">
                    <c:v>0.32775753233144772</c:v>
                  </c:pt>
                  <c:pt idx="28">
                    <c:v>0.11230538722608101</c:v>
                  </c:pt>
                  <c:pt idx="29">
                    <c:v>2.5739075352467482E-2</c:v>
                  </c:pt>
                  <c:pt idx="30">
                    <c:v>3.3726843908080097E-2</c:v>
                  </c:pt>
                </c:numCache>
              </c:numRef>
            </c:plus>
            <c:minus>
              <c:numRef>
                <c:f>Лист1!$C$18:$AG$18</c:f>
                <c:numCache>
                  <c:formatCode>General</c:formatCode>
                  <c:ptCount val="31"/>
                  <c:pt idx="0">
                    <c:v>3.824264635194588E-2</c:v>
                  </c:pt>
                  <c:pt idx="1">
                    <c:v>3.4820970692960293E-2</c:v>
                  </c:pt>
                  <c:pt idx="2">
                    <c:v>4.7958315233127199E-2</c:v>
                  </c:pt>
                  <c:pt idx="3">
                    <c:v>5.2678268764263687E-2</c:v>
                  </c:pt>
                  <c:pt idx="4">
                    <c:v>4.0926763859362253E-2</c:v>
                  </c:pt>
                  <c:pt idx="5">
                    <c:v>8.9022469073824287E-2</c:v>
                  </c:pt>
                  <c:pt idx="6">
                    <c:v>0.12791598805466031</c:v>
                  </c:pt>
                  <c:pt idx="7">
                    <c:v>0.19946804255318693</c:v>
                  </c:pt>
                  <c:pt idx="8">
                    <c:v>0.24515301344262524</c:v>
                  </c:pt>
                  <c:pt idx="9">
                    <c:v>0.28546015483776366</c:v>
                  </c:pt>
                  <c:pt idx="10">
                    <c:v>0.33365401241405745</c:v>
                  </c:pt>
                  <c:pt idx="11">
                    <c:v>0.36086701151532263</c:v>
                  </c:pt>
                  <c:pt idx="12">
                    <c:v>0.38004933890220094</c:v>
                  </c:pt>
                  <c:pt idx="13">
                    <c:v>0.36345563690772492</c:v>
                  </c:pt>
                  <c:pt idx="14">
                    <c:v>0.36022562374156564</c:v>
                  </c:pt>
                  <c:pt idx="15">
                    <c:v>0.33622908856908856</c:v>
                  </c:pt>
                  <c:pt idx="16">
                    <c:v>0.27515904491766208</c:v>
                  </c:pt>
                  <c:pt idx="17">
                    <c:v>0.22899235795108969</c:v>
                  </c:pt>
                  <c:pt idx="18">
                    <c:v>0.14983324063771697</c:v>
                  </c:pt>
                  <c:pt idx="19">
                    <c:v>0.13788582233137678</c:v>
                  </c:pt>
                  <c:pt idx="20">
                    <c:v>0.11434596626029271</c:v>
                  </c:pt>
                  <c:pt idx="21">
                    <c:v>0.29962476533157267</c:v>
                  </c:pt>
                  <c:pt idx="22">
                    <c:v>0.38454518590147502</c:v>
                  </c:pt>
                  <c:pt idx="23">
                    <c:v>0.39460423211111151</c:v>
                  </c:pt>
                  <c:pt idx="24">
                    <c:v>0.40530852446007098</c:v>
                  </c:pt>
                  <c:pt idx="25">
                    <c:v>0.40604802671605239</c:v>
                  </c:pt>
                  <c:pt idx="26">
                    <c:v>0.38091993909481814</c:v>
                  </c:pt>
                  <c:pt idx="27">
                    <c:v>0.32775753233144772</c:v>
                  </c:pt>
                  <c:pt idx="28">
                    <c:v>0.11230538722608101</c:v>
                  </c:pt>
                  <c:pt idx="29">
                    <c:v>2.5739075352467482E-2</c:v>
                  </c:pt>
                  <c:pt idx="30">
                    <c:v>3.3726843908080097E-2</c:v>
                  </c:pt>
                </c:numCache>
              </c:numRef>
            </c:minus>
          </c:errBars>
          <c:xVal>
            <c:numRef>
              <c:f>Лист1!$C$15:$AG$15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4.0999999999999996</c:v>
                </c:pt>
                <c:pt idx="22">
                  <c:v>4.2</c:v>
                </c:pt>
                <c:pt idx="23">
                  <c:v>4.25</c:v>
                </c:pt>
                <c:pt idx="24">
                  <c:v>4.3</c:v>
                </c:pt>
                <c:pt idx="25">
                  <c:v>4.3499999999999996</c:v>
                </c:pt>
                <c:pt idx="26">
                  <c:v>4.37</c:v>
                </c:pt>
                <c:pt idx="27">
                  <c:v>4.4000000000000004</c:v>
                </c:pt>
                <c:pt idx="28">
                  <c:v>4.5999999999999996</c:v>
                </c:pt>
                <c:pt idx="29">
                  <c:v>4.8</c:v>
                </c:pt>
                <c:pt idx="30">
                  <c:v>5</c:v>
                </c:pt>
              </c:numCache>
            </c:numRef>
          </c:xVal>
          <c:yVal>
            <c:numRef>
              <c:f>Лист1!$C$17:$AG$17</c:f>
              <c:numCache>
                <c:formatCode>General</c:formatCode>
                <c:ptCount val="31"/>
                <c:pt idx="0">
                  <c:v>0.11699999999999999</c:v>
                </c:pt>
                <c:pt idx="1">
                  <c:v>9.6999999999999975E-2</c:v>
                </c:pt>
                <c:pt idx="2">
                  <c:v>0.18400000000000005</c:v>
                </c:pt>
                <c:pt idx="3">
                  <c:v>0.22199999999999998</c:v>
                </c:pt>
                <c:pt idx="4">
                  <c:v>0.13400000000000001</c:v>
                </c:pt>
                <c:pt idx="5">
                  <c:v>0.63400000000000012</c:v>
                </c:pt>
                <c:pt idx="6">
                  <c:v>1.3089999999999999</c:v>
                </c:pt>
                <c:pt idx="7">
                  <c:v>3.1829999999999998</c:v>
                </c:pt>
                <c:pt idx="8">
                  <c:v>4.8079999999999998</c:v>
                </c:pt>
                <c:pt idx="9">
                  <c:v>6.5190000000000001</c:v>
                </c:pt>
                <c:pt idx="10">
                  <c:v>8.9060000000000006</c:v>
                </c:pt>
                <c:pt idx="11">
                  <c:v>10.418000000000001</c:v>
                </c:pt>
                <c:pt idx="12">
                  <c:v>11.555</c:v>
                </c:pt>
                <c:pt idx="13">
                  <c:v>10.568</c:v>
                </c:pt>
                <c:pt idx="14">
                  <c:v>10.381</c:v>
                </c:pt>
                <c:pt idx="15">
                  <c:v>9.0440000000000005</c:v>
                </c:pt>
                <c:pt idx="16">
                  <c:v>6.0570000000000004</c:v>
                </c:pt>
                <c:pt idx="17">
                  <c:v>4.1950000000000003</c:v>
                </c:pt>
                <c:pt idx="18">
                  <c:v>1.796</c:v>
                </c:pt>
                <c:pt idx="19">
                  <c:v>1.5210000000000001</c:v>
                </c:pt>
                <c:pt idx="20">
                  <c:v>1.046</c:v>
                </c:pt>
                <c:pt idx="21">
                  <c:v>7.1820000000000004</c:v>
                </c:pt>
                <c:pt idx="22">
                  <c:v>11.83</c:v>
                </c:pt>
                <c:pt idx="23">
                  <c:v>12.457000000000001</c:v>
                </c:pt>
                <c:pt idx="24">
                  <c:v>13.141999999999999</c:v>
                </c:pt>
                <c:pt idx="25">
                  <c:v>13.19</c:v>
                </c:pt>
                <c:pt idx="26">
                  <c:v>11.608000000000001</c:v>
                </c:pt>
                <c:pt idx="27">
                  <c:v>8.5939999999999994</c:v>
                </c:pt>
                <c:pt idx="28">
                  <c:v>1.0090000000000001</c:v>
                </c:pt>
                <c:pt idx="29">
                  <c:v>-5.2999999999999936E-2</c:v>
                </c:pt>
                <c:pt idx="30">
                  <c:v>-9.099999999999997E-2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0A6-4952-BE7D-697335925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87584"/>
        <c:axId val="169189760"/>
      </c:scatterChart>
      <c:valAx>
        <c:axId val="16918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89760"/>
        <c:crosses val="autoZero"/>
        <c:crossBetween val="midCat"/>
        <c:majorUnit val="0.2"/>
      </c:valAx>
      <c:valAx>
        <c:axId val="169189760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- N</a:t>
                </a:r>
                <a:r>
                  <a:rPr lang="ru-RU"/>
                  <a:t>фон</a:t>
                </a:r>
                <a:r>
                  <a:rPr lang="en-US"/>
                  <a:t>, 1/c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875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N(p)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7.14"/>
          </c:errBars>
          <c:errBars>
            <c:errDir val="y"/>
            <c:errBarType val="both"/>
            <c:errValType val="cust"/>
            <c:noEndCap val="0"/>
            <c:plus>
              <c:numRef>
                <c:f>Лист1!$C$18:$AG$18</c:f>
                <c:numCache>
                  <c:formatCode>General</c:formatCode>
                  <c:ptCount val="31"/>
                  <c:pt idx="0">
                    <c:v>3.824264635194588E-2</c:v>
                  </c:pt>
                  <c:pt idx="1">
                    <c:v>3.4820970692960293E-2</c:v>
                  </c:pt>
                  <c:pt idx="2">
                    <c:v>4.7958315233127199E-2</c:v>
                  </c:pt>
                  <c:pt idx="3">
                    <c:v>5.2678268764263687E-2</c:v>
                  </c:pt>
                  <c:pt idx="4">
                    <c:v>4.0926763859362253E-2</c:v>
                  </c:pt>
                  <c:pt idx="5">
                    <c:v>8.9022469073824287E-2</c:v>
                  </c:pt>
                  <c:pt idx="6">
                    <c:v>0.12791598805466031</c:v>
                  </c:pt>
                  <c:pt idx="7">
                    <c:v>0.19946804255318693</c:v>
                  </c:pt>
                  <c:pt idx="8">
                    <c:v>0.24515301344262524</c:v>
                  </c:pt>
                  <c:pt idx="9">
                    <c:v>0.28546015483776366</c:v>
                  </c:pt>
                  <c:pt idx="10">
                    <c:v>0.33365401241405745</c:v>
                  </c:pt>
                  <c:pt idx="11">
                    <c:v>0.36086701151532263</c:v>
                  </c:pt>
                  <c:pt idx="12">
                    <c:v>0.38004933890220094</c:v>
                  </c:pt>
                  <c:pt idx="13">
                    <c:v>0.36345563690772492</c:v>
                  </c:pt>
                  <c:pt idx="14">
                    <c:v>0.36022562374156564</c:v>
                  </c:pt>
                  <c:pt idx="15">
                    <c:v>0.33622908856908856</c:v>
                  </c:pt>
                  <c:pt idx="16">
                    <c:v>0.27515904491766208</c:v>
                  </c:pt>
                  <c:pt idx="17">
                    <c:v>0.22899235795108969</c:v>
                  </c:pt>
                  <c:pt idx="18">
                    <c:v>0.14983324063771697</c:v>
                  </c:pt>
                  <c:pt idx="19">
                    <c:v>0.13788582233137678</c:v>
                  </c:pt>
                  <c:pt idx="20">
                    <c:v>0.11434596626029271</c:v>
                  </c:pt>
                  <c:pt idx="21">
                    <c:v>0.29962476533157267</c:v>
                  </c:pt>
                  <c:pt idx="22">
                    <c:v>0.38454518590147502</c:v>
                  </c:pt>
                  <c:pt idx="23">
                    <c:v>0.39460423211111151</c:v>
                  </c:pt>
                  <c:pt idx="24">
                    <c:v>0.40530852446007098</c:v>
                  </c:pt>
                  <c:pt idx="25">
                    <c:v>0.40604802671605239</c:v>
                  </c:pt>
                  <c:pt idx="26">
                    <c:v>0.38091993909481814</c:v>
                  </c:pt>
                  <c:pt idx="27">
                    <c:v>0.32775753233144772</c:v>
                  </c:pt>
                  <c:pt idx="28">
                    <c:v>0.11230538722608101</c:v>
                  </c:pt>
                  <c:pt idx="29">
                    <c:v>2.5739075352467482E-2</c:v>
                  </c:pt>
                  <c:pt idx="30">
                    <c:v>3.3726843908080097E-2</c:v>
                  </c:pt>
                </c:numCache>
              </c:numRef>
            </c:plus>
            <c:minus>
              <c:numRef>
                <c:f>Лист1!$C$18:$AG$18</c:f>
                <c:numCache>
                  <c:formatCode>General</c:formatCode>
                  <c:ptCount val="31"/>
                  <c:pt idx="0">
                    <c:v>3.824264635194588E-2</c:v>
                  </c:pt>
                  <c:pt idx="1">
                    <c:v>3.4820970692960293E-2</c:v>
                  </c:pt>
                  <c:pt idx="2">
                    <c:v>4.7958315233127199E-2</c:v>
                  </c:pt>
                  <c:pt idx="3">
                    <c:v>5.2678268764263687E-2</c:v>
                  </c:pt>
                  <c:pt idx="4">
                    <c:v>4.0926763859362253E-2</c:v>
                  </c:pt>
                  <c:pt idx="5">
                    <c:v>8.9022469073824287E-2</c:v>
                  </c:pt>
                  <c:pt idx="6">
                    <c:v>0.12791598805466031</c:v>
                  </c:pt>
                  <c:pt idx="7">
                    <c:v>0.19946804255318693</c:v>
                  </c:pt>
                  <c:pt idx="8">
                    <c:v>0.24515301344262524</c:v>
                  </c:pt>
                  <c:pt idx="9">
                    <c:v>0.28546015483776366</c:v>
                  </c:pt>
                  <c:pt idx="10">
                    <c:v>0.33365401241405745</c:v>
                  </c:pt>
                  <c:pt idx="11">
                    <c:v>0.36086701151532263</c:v>
                  </c:pt>
                  <c:pt idx="12">
                    <c:v>0.38004933890220094</c:v>
                  </c:pt>
                  <c:pt idx="13">
                    <c:v>0.36345563690772492</c:v>
                  </c:pt>
                  <c:pt idx="14">
                    <c:v>0.36022562374156564</c:v>
                  </c:pt>
                  <c:pt idx="15">
                    <c:v>0.33622908856908856</c:v>
                  </c:pt>
                  <c:pt idx="16">
                    <c:v>0.27515904491766208</c:v>
                  </c:pt>
                  <c:pt idx="17">
                    <c:v>0.22899235795108969</c:v>
                  </c:pt>
                  <c:pt idx="18">
                    <c:v>0.14983324063771697</c:v>
                  </c:pt>
                  <c:pt idx="19">
                    <c:v>0.13788582233137678</c:v>
                  </c:pt>
                  <c:pt idx="20">
                    <c:v>0.11434596626029271</c:v>
                  </c:pt>
                  <c:pt idx="21">
                    <c:v>0.29962476533157267</c:v>
                  </c:pt>
                  <c:pt idx="22">
                    <c:v>0.38454518590147502</c:v>
                  </c:pt>
                  <c:pt idx="23">
                    <c:v>0.39460423211111151</c:v>
                  </c:pt>
                  <c:pt idx="24">
                    <c:v>0.40530852446007098</c:v>
                  </c:pt>
                  <c:pt idx="25">
                    <c:v>0.40604802671605239</c:v>
                  </c:pt>
                  <c:pt idx="26">
                    <c:v>0.38091993909481814</c:v>
                  </c:pt>
                  <c:pt idx="27">
                    <c:v>0.32775753233144772</c:v>
                  </c:pt>
                  <c:pt idx="28">
                    <c:v>0.11230538722608101</c:v>
                  </c:pt>
                  <c:pt idx="29">
                    <c:v>2.5739075352467482E-2</c:v>
                  </c:pt>
                  <c:pt idx="30">
                    <c:v>3.3726843908080097E-2</c:v>
                  </c:pt>
                </c:numCache>
              </c:numRef>
            </c:minus>
          </c:errBars>
          <c:xVal>
            <c:numRef>
              <c:f>Лист1!$C$57:$AG$57</c:f>
              <c:numCache>
                <c:formatCode>General</c:formatCode>
                <c:ptCount val="31"/>
                <c:pt idx="0">
                  <c:v>0</c:v>
                </c:pt>
                <c:pt idx="1">
                  <c:v>46.597701149425291</c:v>
                </c:pt>
                <c:pt idx="2">
                  <c:v>93.195402298850581</c:v>
                </c:pt>
                <c:pt idx="3">
                  <c:v>139.79310344827587</c:v>
                </c:pt>
                <c:pt idx="4">
                  <c:v>186.39080459770116</c:v>
                </c:pt>
                <c:pt idx="5">
                  <c:v>232.98850574712645</c:v>
                </c:pt>
                <c:pt idx="6">
                  <c:v>279.58620689655174</c:v>
                </c:pt>
                <c:pt idx="7">
                  <c:v>326.18390804597703</c:v>
                </c:pt>
                <c:pt idx="8">
                  <c:v>372.78160919540232</c:v>
                </c:pt>
                <c:pt idx="9">
                  <c:v>419.37931034482762</c:v>
                </c:pt>
                <c:pt idx="10">
                  <c:v>465.97701149425291</c:v>
                </c:pt>
                <c:pt idx="11">
                  <c:v>512.57471264367825</c:v>
                </c:pt>
                <c:pt idx="12">
                  <c:v>559.17241379310349</c:v>
                </c:pt>
                <c:pt idx="13">
                  <c:v>605.77011494252883</c:v>
                </c:pt>
                <c:pt idx="14">
                  <c:v>652.36781609195407</c:v>
                </c:pt>
                <c:pt idx="15">
                  <c:v>698.9655172413793</c:v>
                </c:pt>
                <c:pt idx="16">
                  <c:v>745.56321839080465</c:v>
                </c:pt>
                <c:pt idx="17">
                  <c:v>792.16091954022988</c:v>
                </c:pt>
                <c:pt idx="18">
                  <c:v>838.75862068965523</c:v>
                </c:pt>
                <c:pt idx="19">
                  <c:v>885.35632183908046</c:v>
                </c:pt>
                <c:pt idx="20">
                  <c:v>931.95402298850581</c:v>
                </c:pt>
                <c:pt idx="21">
                  <c:v>955.25287356321837</c:v>
                </c:pt>
                <c:pt idx="22">
                  <c:v>978.55172413793116</c:v>
                </c:pt>
                <c:pt idx="23">
                  <c:v>990.20114942528744</c:v>
                </c:pt>
                <c:pt idx="24">
                  <c:v>1001.8505747126437</c:v>
                </c:pt>
                <c:pt idx="25">
                  <c:v>1013.5</c:v>
                </c:pt>
                <c:pt idx="26">
                  <c:v>1018.1597701149426</c:v>
                </c:pt>
                <c:pt idx="27">
                  <c:v>1025.1494252873565</c:v>
                </c:pt>
                <c:pt idx="28">
                  <c:v>1071.7471264367816</c:v>
                </c:pt>
                <c:pt idx="29">
                  <c:v>1118.344827586207</c:v>
                </c:pt>
                <c:pt idx="30">
                  <c:v>1164.9425287356323</c:v>
                </c:pt>
              </c:numCache>
            </c:numRef>
          </c:xVal>
          <c:yVal>
            <c:numRef>
              <c:f>Лист1!$C$56:$AG$56</c:f>
              <c:numCache>
                <c:formatCode>General</c:formatCode>
                <c:ptCount val="31"/>
                <c:pt idx="0">
                  <c:v>0.11699999999999999</c:v>
                </c:pt>
                <c:pt idx="1">
                  <c:v>9.6999999999999975E-2</c:v>
                </c:pt>
                <c:pt idx="2">
                  <c:v>0.18400000000000005</c:v>
                </c:pt>
                <c:pt idx="3">
                  <c:v>0.22199999999999998</c:v>
                </c:pt>
                <c:pt idx="4">
                  <c:v>0.13400000000000001</c:v>
                </c:pt>
                <c:pt idx="5">
                  <c:v>0.63400000000000012</c:v>
                </c:pt>
                <c:pt idx="6">
                  <c:v>1.3089999999999999</c:v>
                </c:pt>
                <c:pt idx="7">
                  <c:v>3.1829999999999998</c:v>
                </c:pt>
                <c:pt idx="8">
                  <c:v>4.8079999999999998</c:v>
                </c:pt>
                <c:pt idx="9">
                  <c:v>6.5190000000000001</c:v>
                </c:pt>
                <c:pt idx="10">
                  <c:v>8.9060000000000006</c:v>
                </c:pt>
                <c:pt idx="11">
                  <c:v>10.418000000000001</c:v>
                </c:pt>
                <c:pt idx="12">
                  <c:v>11.555</c:v>
                </c:pt>
                <c:pt idx="13">
                  <c:v>10.568</c:v>
                </c:pt>
                <c:pt idx="14">
                  <c:v>10.381</c:v>
                </c:pt>
                <c:pt idx="15">
                  <c:v>9.0440000000000005</c:v>
                </c:pt>
                <c:pt idx="16">
                  <c:v>6.0570000000000004</c:v>
                </c:pt>
                <c:pt idx="17">
                  <c:v>4.1950000000000003</c:v>
                </c:pt>
                <c:pt idx="18">
                  <c:v>1.796</c:v>
                </c:pt>
                <c:pt idx="19">
                  <c:v>1.5210000000000001</c:v>
                </c:pt>
                <c:pt idx="20">
                  <c:v>1.046</c:v>
                </c:pt>
                <c:pt idx="21">
                  <c:v>7.1820000000000004</c:v>
                </c:pt>
                <c:pt idx="22">
                  <c:v>11.83</c:v>
                </c:pt>
                <c:pt idx="23">
                  <c:v>12.457000000000001</c:v>
                </c:pt>
                <c:pt idx="24">
                  <c:v>13.141999999999999</c:v>
                </c:pt>
                <c:pt idx="25">
                  <c:v>13.19</c:v>
                </c:pt>
                <c:pt idx="26">
                  <c:v>11.608000000000001</c:v>
                </c:pt>
                <c:pt idx="27">
                  <c:v>8.5939999999999994</c:v>
                </c:pt>
                <c:pt idx="28">
                  <c:v>1.0090000000000001</c:v>
                </c:pt>
                <c:pt idx="29">
                  <c:v>-5.2999999999999936E-2</c:v>
                </c:pt>
                <c:pt idx="30">
                  <c:v>-9.099999999999997E-2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968-4BA4-BC2A-8563C3032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5696"/>
        <c:axId val="191327616"/>
      </c:scatterChart>
      <c:valAx>
        <c:axId val="1913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327616"/>
        <c:crosses val="autoZero"/>
        <c:crossBetween val="midCat"/>
        <c:majorUnit val="100"/>
      </c:valAx>
      <c:valAx>
        <c:axId val="1913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r>
                  <a:rPr lang="en-US" baseline="0"/>
                  <a:t> - N</a:t>
                </a:r>
                <a:r>
                  <a:rPr lang="ru-RU" baseline="0"/>
                  <a:t>фон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325696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N(E)</c:v>
          </c:tx>
          <c:errBars>
            <c:errDir val="x"/>
            <c:errBarType val="both"/>
            <c:errValType val="fixedVal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Лист1!$C$18:$AG$18</c:f>
                <c:numCache>
                  <c:formatCode>General</c:formatCode>
                  <c:ptCount val="31"/>
                  <c:pt idx="0">
                    <c:v>3.824264635194588E-2</c:v>
                  </c:pt>
                  <c:pt idx="1">
                    <c:v>3.4820970692960293E-2</c:v>
                  </c:pt>
                  <c:pt idx="2">
                    <c:v>4.7958315233127199E-2</c:v>
                  </c:pt>
                  <c:pt idx="3">
                    <c:v>5.2678268764263687E-2</c:v>
                  </c:pt>
                  <c:pt idx="4">
                    <c:v>4.0926763859362253E-2</c:v>
                  </c:pt>
                  <c:pt idx="5">
                    <c:v>8.9022469073824287E-2</c:v>
                  </c:pt>
                  <c:pt idx="6">
                    <c:v>0.12791598805466031</c:v>
                  </c:pt>
                  <c:pt idx="7">
                    <c:v>0.19946804255318693</c:v>
                  </c:pt>
                  <c:pt idx="8">
                    <c:v>0.24515301344262524</c:v>
                  </c:pt>
                  <c:pt idx="9">
                    <c:v>0.28546015483776366</c:v>
                  </c:pt>
                  <c:pt idx="10">
                    <c:v>0.33365401241405745</c:v>
                  </c:pt>
                  <c:pt idx="11">
                    <c:v>0.36086701151532263</c:v>
                  </c:pt>
                  <c:pt idx="12">
                    <c:v>0.38004933890220094</c:v>
                  </c:pt>
                  <c:pt idx="13">
                    <c:v>0.36345563690772492</c:v>
                  </c:pt>
                  <c:pt idx="14">
                    <c:v>0.36022562374156564</c:v>
                  </c:pt>
                  <c:pt idx="15">
                    <c:v>0.33622908856908856</c:v>
                  </c:pt>
                  <c:pt idx="16">
                    <c:v>0.27515904491766208</c:v>
                  </c:pt>
                  <c:pt idx="17">
                    <c:v>0.22899235795108969</c:v>
                  </c:pt>
                  <c:pt idx="18">
                    <c:v>0.14983324063771697</c:v>
                  </c:pt>
                  <c:pt idx="19">
                    <c:v>0.13788582233137678</c:v>
                  </c:pt>
                  <c:pt idx="20">
                    <c:v>0.11434596626029271</c:v>
                  </c:pt>
                  <c:pt idx="21">
                    <c:v>0.29962476533157267</c:v>
                  </c:pt>
                  <c:pt idx="22">
                    <c:v>0.38454518590147502</c:v>
                  </c:pt>
                  <c:pt idx="23">
                    <c:v>0.39460423211111151</c:v>
                  </c:pt>
                  <c:pt idx="24">
                    <c:v>0.40530852446007098</c:v>
                  </c:pt>
                  <c:pt idx="25">
                    <c:v>0.40604802671605239</c:v>
                  </c:pt>
                  <c:pt idx="26">
                    <c:v>0.38091993909481814</c:v>
                  </c:pt>
                  <c:pt idx="27">
                    <c:v>0.32775753233144772</c:v>
                  </c:pt>
                  <c:pt idx="28">
                    <c:v>0.11230538722608101</c:v>
                  </c:pt>
                  <c:pt idx="29">
                    <c:v>2.5739075352467482E-2</c:v>
                  </c:pt>
                  <c:pt idx="30">
                    <c:v>3.3726843908080097E-2</c:v>
                  </c:pt>
                </c:numCache>
              </c:numRef>
            </c:plus>
            <c:minus>
              <c:numRef>
                <c:f>Лист1!$C$18:$AG$18</c:f>
                <c:numCache>
                  <c:formatCode>General</c:formatCode>
                  <c:ptCount val="31"/>
                  <c:pt idx="0">
                    <c:v>3.824264635194588E-2</c:v>
                  </c:pt>
                  <c:pt idx="1">
                    <c:v>3.4820970692960293E-2</c:v>
                  </c:pt>
                  <c:pt idx="2">
                    <c:v>4.7958315233127199E-2</c:v>
                  </c:pt>
                  <c:pt idx="3">
                    <c:v>5.2678268764263687E-2</c:v>
                  </c:pt>
                  <c:pt idx="4">
                    <c:v>4.0926763859362253E-2</c:v>
                  </c:pt>
                  <c:pt idx="5">
                    <c:v>8.9022469073824287E-2</c:v>
                  </c:pt>
                  <c:pt idx="6">
                    <c:v>0.12791598805466031</c:v>
                  </c:pt>
                  <c:pt idx="7">
                    <c:v>0.19946804255318693</c:v>
                  </c:pt>
                  <c:pt idx="8">
                    <c:v>0.24515301344262524</c:v>
                  </c:pt>
                  <c:pt idx="9">
                    <c:v>0.28546015483776366</c:v>
                  </c:pt>
                  <c:pt idx="10">
                    <c:v>0.33365401241405745</c:v>
                  </c:pt>
                  <c:pt idx="11">
                    <c:v>0.36086701151532263</c:v>
                  </c:pt>
                  <c:pt idx="12">
                    <c:v>0.38004933890220094</c:v>
                  </c:pt>
                  <c:pt idx="13">
                    <c:v>0.36345563690772492</c:v>
                  </c:pt>
                  <c:pt idx="14">
                    <c:v>0.36022562374156564</c:v>
                  </c:pt>
                  <c:pt idx="15">
                    <c:v>0.33622908856908856</c:v>
                  </c:pt>
                  <c:pt idx="16">
                    <c:v>0.27515904491766208</c:v>
                  </c:pt>
                  <c:pt idx="17">
                    <c:v>0.22899235795108969</c:v>
                  </c:pt>
                  <c:pt idx="18">
                    <c:v>0.14983324063771697</c:v>
                  </c:pt>
                  <c:pt idx="19">
                    <c:v>0.13788582233137678</c:v>
                  </c:pt>
                  <c:pt idx="20">
                    <c:v>0.11434596626029271</c:v>
                  </c:pt>
                  <c:pt idx="21">
                    <c:v>0.29962476533157267</c:v>
                  </c:pt>
                  <c:pt idx="22">
                    <c:v>0.38454518590147502</c:v>
                  </c:pt>
                  <c:pt idx="23">
                    <c:v>0.39460423211111151</c:v>
                  </c:pt>
                  <c:pt idx="24">
                    <c:v>0.40530852446007098</c:v>
                  </c:pt>
                  <c:pt idx="25">
                    <c:v>0.40604802671605239</c:v>
                  </c:pt>
                  <c:pt idx="26">
                    <c:v>0.38091993909481814</c:v>
                  </c:pt>
                  <c:pt idx="27">
                    <c:v>0.32775753233144772</c:v>
                  </c:pt>
                  <c:pt idx="28">
                    <c:v>0.11230538722608101</c:v>
                  </c:pt>
                  <c:pt idx="29">
                    <c:v>2.5739075352467482E-2</c:v>
                  </c:pt>
                  <c:pt idx="30">
                    <c:v>3.3726843908080097E-2</c:v>
                  </c:pt>
                </c:numCache>
              </c:numRef>
            </c:minus>
          </c:errBars>
          <c:xVal>
            <c:numRef>
              <c:f>Лист1!$C$105:$AG$105</c:f>
              <c:numCache>
                <c:formatCode>0.00</c:formatCode>
                <c:ptCount val="31"/>
                <c:pt idx="0">
                  <c:v>0</c:v>
                </c:pt>
                <c:pt idx="1">
                  <c:v>2.1202059482857294</c:v>
                </c:pt>
                <c:pt idx="2">
                  <c:v>8.4289008224750432</c:v>
                </c:pt>
                <c:pt idx="3">
                  <c:v>18.776473403359432</c:v>
                </c:pt>
                <c:pt idx="4">
                  <c:v>32.932470108724488</c:v>
                </c:pt>
                <c:pt idx="5">
                  <c:v>50.608977679558507</c:v>
                </c:pt>
                <c:pt idx="6">
                  <c:v>71.485576719974574</c:v>
                </c:pt>
                <c:pt idx="7">
                  <c:v>95.231755905401542</c:v>
                </c:pt>
                <c:pt idx="8">
                  <c:v>121.52440913716021</c:v>
                </c:pt>
                <c:pt idx="9">
                  <c:v>150.05975973833347</c:v>
                </c:pt>
                <c:pt idx="10">
                  <c:v>180.56024700752948</c:v>
                </c:pt>
                <c:pt idx="11">
                  <c:v>212.77747688205204</c:v>
                </c:pt>
                <c:pt idx="12">
                  <c:v>246.49243451483107</c:v>
                </c:pt>
                <c:pt idx="13">
                  <c:v>281.51399492847099</c:v>
                </c:pt>
                <c:pt idx="14">
                  <c:v>317.67651557926126</c:v>
                </c:pt>
                <c:pt idx="15">
                  <c:v>354.83704834830723</c:v>
                </c:pt>
                <c:pt idx="16">
                  <c:v>392.87250905050462</c:v>
                </c:pt>
                <c:pt idx="17">
                  <c:v>431.67699794087605</c:v>
                </c:pt>
                <c:pt idx="18">
                  <c:v>471.1593678121759</c:v>
                </c:pt>
                <c:pt idx="19">
                  <c:v>511.24107558854507</c:v>
                </c:pt>
                <c:pt idx="20">
                  <c:v>551.85431784627031</c:v>
                </c:pt>
                <c:pt idx="21">
                  <c:v>572.34161391999805</c:v>
                </c:pt>
                <c:pt idx="22">
                  <c:v>592.94043173230943</c:v>
                </c:pt>
                <c:pt idx="23">
                  <c:v>603.27972983589734</c:v>
                </c:pt>
                <c:pt idx="24">
                  <c:v>613.64464345501347</c:v>
                </c:pt>
                <c:pt idx="25">
                  <c:v>624.03447084218556</c:v>
                </c:pt>
                <c:pt idx="26">
                  <c:v>628.19722501440151</c:v>
                </c:pt>
                <c:pt idx="27">
                  <c:v>634.44853405423555</c:v>
                </c:pt>
                <c:pt idx="28">
                  <c:v>676.33436867021533</c:v>
                </c:pt>
                <c:pt idx="29">
                  <c:v>718.5593330087097</c:v>
                </c:pt>
                <c:pt idx="30">
                  <c:v>761.08965692555239</c:v>
                </c:pt>
              </c:numCache>
            </c:numRef>
          </c:xVal>
          <c:yVal>
            <c:numRef>
              <c:f>Лист1!$C$104:$AG$104</c:f>
              <c:numCache>
                <c:formatCode>0.00</c:formatCode>
                <c:ptCount val="31"/>
                <c:pt idx="0">
                  <c:v>0.11699999999999999</c:v>
                </c:pt>
                <c:pt idx="1">
                  <c:v>9.6999999999999975E-2</c:v>
                </c:pt>
                <c:pt idx="2">
                  <c:v>0.18400000000000005</c:v>
                </c:pt>
                <c:pt idx="3">
                  <c:v>0.22199999999999998</c:v>
                </c:pt>
                <c:pt idx="4">
                  <c:v>0.13400000000000001</c:v>
                </c:pt>
                <c:pt idx="5">
                  <c:v>0.63400000000000012</c:v>
                </c:pt>
                <c:pt idx="6">
                  <c:v>1.3089999999999999</c:v>
                </c:pt>
                <c:pt idx="7">
                  <c:v>3.1829999999999998</c:v>
                </c:pt>
                <c:pt idx="8">
                  <c:v>4.8079999999999998</c:v>
                </c:pt>
                <c:pt idx="9">
                  <c:v>6.5190000000000001</c:v>
                </c:pt>
                <c:pt idx="10">
                  <c:v>8.9060000000000006</c:v>
                </c:pt>
                <c:pt idx="11">
                  <c:v>10.418000000000001</c:v>
                </c:pt>
                <c:pt idx="12">
                  <c:v>11.555</c:v>
                </c:pt>
                <c:pt idx="13">
                  <c:v>10.568</c:v>
                </c:pt>
                <c:pt idx="14">
                  <c:v>10.381</c:v>
                </c:pt>
                <c:pt idx="15">
                  <c:v>9.0440000000000005</c:v>
                </c:pt>
                <c:pt idx="16">
                  <c:v>6.0570000000000004</c:v>
                </c:pt>
                <c:pt idx="17">
                  <c:v>4.1950000000000003</c:v>
                </c:pt>
                <c:pt idx="18">
                  <c:v>1.796</c:v>
                </c:pt>
                <c:pt idx="19">
                  <c:v>1.5210000000000001</c:v>
                </c:pt>
                <c:pt idx="20">
                  <c:v>1.046</c:v>
                </c:pt>
                <c:pt idx="21">
                  <c:v>7.1820000000000004</c:v>
                </c:pt>
                <c:pt idx="22">
                  <c:v>11.83</c:v>
                </c:pt>
                <c:pt idx="23">
                  <c:v>12.457000000000001</c:v>
                </c:pt>
                <c:pt idx="24">
                  <c:v>13.141999999999999</c:v>
                </c:pt>
                <c:pt idx="25">
                  <c:v>13.19</c:v>
                </c:pt>
                <c:pt idx="26">
                  <c:v>11.608000000000001</c:v>
                </c:pt>
                <c:pt idx="27">
                  <c:v>8.5939999999999994</c:v>
                </c:pt>
                <c:pt idx="28">
                  <c:v>1.0090000000000001</c:v>
                </c:pt>
                <c:pt idx="29">
                  <c:v>-5.2999999999999936E-2</c:v>
                </c:pt>
                <c:pt idx="30">
                  <c:v>-9.099999999999997E-2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73696"/>
        <c:axId val="191375616"/>
      </c:scatterChart>
      <c:valAx>
        <c:axId val="191373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E,</a:t>
                </a:r>
                <a:r>
                  <a:rPr lang="en-US" baseline="0"/>
                  <a:t> </a:t>
                </a:r>
                <a:r>
                  <a:rPr lang="ru-RU" baseline="0"/>
                  <a:t>кэВ</a:t>
                </a:r>
                <a:endParaRPr lang="ru-RU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low"/>
        <c:crossAx val="191375616"/>
        <c:crosses val="autoZero"/>
        <c:crossBetween val="midCat"/>
      </c:valAx>
      <c:valAx>
        <c:axId val="191375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N(E) - N</a:t>
                </a:r>
                <a:r>
                  <a:rPr lang="ru-RU"/>
                  <a:t>ф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91373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Лист1!$D$147:$AE$147</c:f>
              <c:numCache>
                <c:formatCode>General</c:formatCode>
                <c:ptCount val="28"/>
                <c:pt idx="0">
                  <c:v>2.1202059482857294</c:v>
                </c:pt>
                <c:pt idx="1">
                  <c:v>8.4289008224750432</c:v>
                </c:pt>
                <c:pt idx="2">
                  <c:v>18.776473403359432</c:v>
                </c:pt>
                <c:pt idx="3">
                  <c:v>32.932470108724488</c:v>
                </c:pt>
                <c:pt idx="4">
                  <c:v>50.608977679558507</c:v>
                </c:pt>
                <c:pt idx="5">
                  <c:v>71.485576719974574</c:v>
                </c:pt>
                <c:pt idx="6">
                  <c:v>95.231755905401542</c:v>
                </c:pt>
                <c:pt idx="7">
                  <c:v>121.52440913716021</c:v>
                </c:pt>
                <c:pt idx="8">
                  <c:v>150.05975973833347</c:v>
                </c:pt>
                <c:pt idx="9">
                  <c:v>180.56024700752948</c:v>
                </c:pt>
                <c:pt idx="10">
                  <c:v>212.77747688205204</c:v>
                </c:pt>
                <c:pt idx="11">
                  <c:v>246.49243451483107</c:v>
                </c:pt>
                <c:pt idx="12">
                  <c:v>281.51399492847099</c:v>
                </c:pt>
                <c:pt idx="13">
                  <c:v>317.67651557926126</c:v>
                </c:pt>
                <c:pt idx="14">
                  <c:v>354.83704834830723</c:v>
                </c:pt>
                <c:pt idx="15">
                  <c:v>392.87250905050462</c:v>
                </c:pt>
                <c:pt idx="16">
                  <c:v>431.67699794087605</c:v>
                </c:pt>
                <c:pt idx="17">
                  <c:v>471.1593678121759</c:v>
                </c:pt>
                <c:pt idx="18">
                  <c:v>511.24107558854507</c:v>
                </c:pt>
                <c:pt idx="19">
                  <c:v>551.85431784627031</c:v>
                </c:pt>
                <c:pt idx="20">
                  <c:v>572.34161391999805</c:v>
                </c:pt>
                <c:pt idx="21">
                  <c:v>592.94043173230943</c:v>
                </c:pt>
                <c:pt idx="22">
                  <c:v>603.27972983589734</c:v>
                </c:pt>
                <c:pt idx="23">
                  <c:v>613.64464345501347</c:v>
                </c:pt>
                <c:pt idx="24">
                  <c:v>624.03447084218556</c:v>
                </c:pt>
                <c:pt idx="25">
                  <c:v>628.19722501440151</c:v>
                </c:pt>
                <c:pt idx="26">
                  <c:v>634.44853405423555</c:v>
                </c:pt>
                <c:pt idx="27">
                  <c:v>676.33436867021533</c:v>
                </c:pt>
              </c:numCache>
            </c:numRef>
          </c:xVal>
          <c:yVal>
            <c:numRef>
              <c:f>Лист1!$D$148:$AE$148</c:f>
              <c:numCache>
                <c:formatCode>General</c:formatCode>
                <c:ptCount val="28"/>
                <c:pt idx="2">
                  <c:v>24.110432131388503</c:v>
                </c:pt>
                <c:pt idx="3">
                  <c:v>10.536671323186741</c:v>
                </c:pt>
                <c:pt idx="4">
                  <c:v>14.668159939274464</c:v>
                </c:pt>
                <c:pt idx="5">
                  <c:v>14.636537137889075</c:v>
                </c:pt>
                <c:pt idx="6">
                  <c:v>16.768462956622621</c:v>
                </c:pt>
                <c:pt idx="7">
                  <c:v>15.778774589960792</c:v>
                </c:pt>
                <c:pt idx="8">
                  <c:v>14.516987008292803</c:v>
                </c:pt>
                <c:pt idx="9">
                  <c:v>13.743975171064694</c:v>
                </c:pt>
                <c:pt idx="10">
                  <c:v>12.285075299187003</c:v>
                </c:pt>
                <c:pt idx="11">
                  <c:v>10.871600860197544</c:v>
                </c:pt>
                <c:pt idx="12">
                  <c:v>8.8589186615233206</c:v>
                </c:pt>
                <c:pt idx="13">
                  <c:v>7.5706739165072996</c:v>
                </c:pt>
                <c:pt idx="14">
                  <c:v>6.1555770990280267</c:v>
                </c:pt>
                <c:pt idx="15">
                  <c:v>4.4275129287374604</c:v>
                </c:pt>
                <c:pt idx="16">
                  <c:v>3.2639173761329419</c:v>
                </c:pt>
                <c:pt idx="17">
                  <c:v>1.9049306627262412</c:v>
                </c:pt>
                <c:pt idx="18">
                  <c:v>1.5733611479506007</c:v>
                </c:pt>
                <c:pt idx="19">
                  <c:v>1.1775432504334624</c:v>
                </c:pt>
                <c:pt idx="20">
                  <c:v>2.9368786005752101</c:v>
                </c:pt>
                <c:pt idx="21">
                  <c:v>3.5919046493191513</c:v>
                </c:pt>
                <c:pt idx="22">
                  <c:v>3.5996467205303593</c:v>
                </c:pt>
                <c:pt idx="23">
                  <c:v>3.6118094346986696</c:v>
                </c:pt>
                <c:pt idx="24">
                  <c:v>3.5356957925109933</c:v>
                </c:pt>
                <c:pt idx="25">
                  <c:v>3.2865998691678291</c:v>
                </c:pt>
                <c:pt idx="26">
                  <c:v>2.7894804984111055</c:v>
                </c:pt>
                <c:pt idx="27">
                  <c:v>0.87450224274598487</c:v>
                </c:pt>
              </c:numCache>
            </c:numRef>
          </c:yVal>
          <c:smooth val="1"/>
        </c:ser>
        <c:ser>
          <c:idx val="1"/>
          <c:order val="1"/>
          <c:trendline>
            <c:trendlineType val="linear"/>
            <c:forward val="125"/>
            <c:backward val="25"/>
            <c:dispRSqr val="1"/>
            <c:dispEq val="1"/>
            <c:trendlineLbl>
              <c:layout>
                <c:manualLayout>
                  <c:x val="0.16589654638085155"/>
                  <c:y val="-0.38239305624602155"/>
                </c:manualLayout>
              </c:layout>
              <c:numFmt formatCode="General" sourceLinked="0"/>
            </c:trendlineLbl>
          </c:trendline>
          <c:xVal>
            <c:numRef>
              <c:f>Лист1!$J$150:$U$150</c:f>
              <c:numCache>
                <c:formatCode>General</c:formatCode>
                <c:ptCount val="12"/>
                <c:pt idx="0">
                  <c:v>95.231755905401542</c:v>
                </c:pt>
                <c:pt idx="1">
                  <c:v>121.52440913716021</c:v>
                </c:pt>
                <c:pt idx="2">
                  <c:v>150.05975973833347</c:v>
                </c:pt>
                <c:pt idx="3">
                  <c:v>180.56024700752948</c:v>
                </c:pt>
                <c:pt idx="4">
                  <c:v>212.77747688205204</c:v>
                </c:pt>
                <c:pt idx="5">
                  <c:v>246.49243451483107</c:v>
                </c:pt>
                <c:pt idx="6">
                  <c:v>281.51399492847099</c:v>
                </c:pt>
                <c:pt idx="7">
                  <c:v>317.67651557926126</c:v>
                </c:pt>
                <c:pt idx="8">
                  <c:v>354.83704834830723</c:v>
                </c:pt>
                <c:pt idx="9">
                  <c:v>392.87250905050462</c:v>
                </c:pt>
                <c:pt idx="10">
                  <c:v>431.67699794087605</c:v>
                </c:pt>
              </c:numCache>
            </c:numRef>
          </c:xVal>
          <c:yVal>
            <c:numRef>
              <c:f>Лист1!$J$151:$U$151</c:f>
              <c:numCache>
                <c:formatCode>General</c:formatCode>
                <c:ptCount val="12"/>
                <c:pt idx="0">
                  <c:v>16.768462956622621</c:v>
                </c:pt>
                <c:pt idx="1">
                  <c:v>15.778774589960792</c:v>
                </c:pt>
                <c:pt idx="2">
                  <c:v>14.516987008292803</c:v>
                </c:pt>
                <c:pt idx="3">
                  <c:v>13.743975171064694</c:v>
                </c:pt>
                <c:pt idx="4">
                  <c:v>12.285075299187003</c:v>
                </c:pt>
                <c:pt idx="5">
                  <c:v>10.871600860197544</c:v>
                </c:pt>
                <c:pt idx="6">
                  <c:v>8.8589186615233206</c:v>
                </c:pt>
                <c:pt idx="7">
                  <c:v>7.5706739165072996</c:v>
                </c:pt>
                <c:pt idx="8">
                  <c:v>6.1555770990280267</c:v>
                </c:pt>
                <c:pt idx="9">
                  <c:v>4.4275129287374604</c:v>
                </c:pt>
                <c:pt idx="10">
                  <c:v>3.2639173761329419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05440"/>
        <c:axId val="191407616"/>
      </c:scatterChart>
      <c:valAx>
        <c:axId val="191405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crossAx val="191407616"/>
        <c:crosses val="autoZero"/>
        <c:crossBetween val="midCat"/>
      </c:valAx>
      <c:valAx>
        <c:axId val="191407616"/>
        <c:scaling>
          <c:orientation val="minMax"/>
          <c:min val="-2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[N^(1/2)]/p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1405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598713</xdr:colOff>
      <xdr:row>24</xdr:row>
      <xdr:rowOff>142875</xdr:rowOff>
    </xdr:from>
    <xdr:to>
      <xdr:col>19</xdr:col>
      <xdr:colOff>285750</xdr:colOff>
      <xdr:row>51</xdr:row>
      <xdr:rowOff>14968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101746</xdr:colOff>
      <xdr:row>66</xdr:row>
      <xdr:rowOff>183572</xdr:rowOff>
    </xdr:from>
    <xdr:to>
      <xdr:col>20</xdr:col>
      <xdr:colOff>170330</xdr:colOff>
      <xdr:row>97</xdr:row>
      <xdr:rowOff>110779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374072</xdr:colOff>
      <xdr:row>109</xdr:row>
      <xdr:rowOff>159328</xdr:rowOff>
    </xdr:from>
    <xdr:to>
      <xdr:col>26</xdr:col>
      <xdr:colOff>498764</xdr:colOff>
      <xdr:row>142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457649</xdr:colOff>
      <xdr:row>156</xdr:row>
      <xdr:rowOff>127747</xdr:rowOff>
    </xdr:from>
    <xdr:to>
      <xdr:col>16</xdr:col>
      <xdr:colOff>484095</xdr:colOff>
      <xdr:row>191</xdr:row>
      <xdr:rowOff>26894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1"/>
  <sheetViews>
    <sheetView tabSelected="1" topLeftCell="A58" zoomScale="70" zoomScaleNormal="70" workbookViewId="0">
      <selection activeCell="AG57" sqref="AG57"/>
    </sheetView>
  </sheetViews>
  <sheetFormatPr defaultRowHeight="14.4" x14ac:dyDescent="0.3"/>
  <cols>
    <col min="1" max="1" width="18" customWidth="1"/>
    <col min="2" max="2" width="23.109375" customWidth="1"/>
    <col min="3" max="3" width="9.109375" customWidth="1"/>
    <col min="4" max="9" width="9" bestFit="1" customWidth="1"/>
    <col min="10" max="26" width="10" bestFit="1" customWidth="1"/>
    <col min="27" max="33" width="11" bestFit="1" customWidth="1"/>
  </cols>
  <sheetData>
    <row r="1" spans="1:33" x14ac:dyDescent="0.3">
      <c r="A1" t="s">
        <v>4</v>
      </c>
    </row>
    <row r="2" spans="1:33" x14ac:dyDescent="0.3">
      <c r="B2" t="s">
        <v>8</v>
      </c>
      <c r="C2">
        <v>60</v>
      </c>
      <c r="D2">
        <v>120</v>
      </c>
      <c r="E2">
        <v>180</v>
      </c>
      <c r="F2">
        <v>500</v>
      </c>
      <c r="H2">
        <v>680</v>
      </c>
    </row>
    <row r="3" spans="1:33" x14ac:dyDescent="0.3">
      <c r="B3" t="s">
        <v>6</v>
      </c>
      <c r="C3">
        <v>0.59899999999999998</v>
      </c>
      <c r="D3">
        <v>0.64990000000000003</v>
      </c>
      <c r="E3">
        <v>0.63300000000000001</v>
      </c>
      <c r="F3">
        <v>0.59199999999999997</v>
      </c>
      <c r="H3">
        <v>0.60299999999999998</v>
      </c>
    </row>
    <row r="4" spans="1:33" x14ac:dyDescent="0.3">
      <c r="B4" t="s">
        <v>7</v>
      </c>
      <c r="C4">
        <v>0.1</v>
      </c>
      <c r="D4">
        <v>7.3999999999999996E-2</v>
      </c>
      <c r="E4">
        <v>5.8999999999999997E-2</v>
      </c>
      <c r="F4">
        <v>3.4000000000000002E-2</v>
      </c>
      <c r="H4">
        <v>0.03</v>
      </c>
    </row>
    <row r="12" spans="1:33" x14ac:dyDescent="0.3">
      <c r="A12" t="s">
        <v>5</v>
      </c>
    </row>
    <row r="13" spans="1:33" x14ac:dyDescent="0.3">
      <c r="A13" t="s">
        <v>0</v>
      </c>
    </row>
    <row r="14" spans="1:33" x14ac:dyDescent="0.3">
      <c r="B14" t="s">
        <v>1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10</v>
      </c>
      <c r="M14">
        <v>11</v>
      </c>
      <c r="N14">
        <v>12</v>
      </c>
      <c r="O14">
        <v>13</v>
      </c>
      <c r="P14">
        <v>14</v>
      </c>
      <c r="Q14">
        <v>15</v>
      </c>
      <c r="R14">
        <v>16</v>
      </c>
      <c r="S14">
        <v>17</v>
      </c>
      <c r="T14">
        <v>18</v>
      </c>
      <c r="U14">
        <v>19</v>
      </c>
      <c r="V14">
        <v>20</v>
      </c>
      <c r="W14">
        <v>21</v>
      </c>
      <c r="X14">
        <v>22</v>
      </c>
      <c r="Y14">
        <v>23</v>
      </c>
      <c r="Z14">
        <v>24</v>
      </c>
      <c r="AA14">
        <v>25</v>
      </c>
      <c r="AB14">
        <v>26</v>
      </c>
      <c r="AC14">
        <v>27</v>
      </c>
      <c r="AD14">
        <v>28</v>
      </c>
      <c r="AE14">
        <v>29</v>
      </c>
      <c r="AF14">
        <v>30</v>
      </c>
      <c r="AG14">
        <v>31</v>
      </c>
    </row>
    <row r="15" spans="1:33" x14ac:dyDescent="0.3">
      <c r="B15" t="s">
        <v>2</v>
      </c>
      <c r="C15">
        <v>0</v>
      </c>
      <c r="D15">
        <v>0.2</v>
      </c>
      <c r="E15">
        <v>0.4</v>
      </c>
      <c r="F15">
        <v>0.6</v>
      </c>
      <c r="G15">
        <v>0.8</v>
      </c>
      <c r="H15">
        <v>1</v>
      </c>
      <c r="I15">
        <v>1.2</v>
      </c>
      <c r="J15">
        <v>1.4</v>
      </c>
      <c r="K15">
        <v>1.6</v>
      </c>
      <c r="L15">
        <v>1.8</v>
      </c>
      <c r="M15">
        <v>2</v>
      </c>
      <c r="N15">
        <v>2.2000000000000002</v>
      </c>
      <c r="O15">
        <v>2.4</v>
      </c>
      <c r="P15">
        <v>2.6</v>
      </c>
      <c r="Q15">
        <v>2.8</v>
      </c>
      <c r="R15">
        <v>3</v>
      </c>
      <c r="S15">
        <v>3.2</v>
      </c>
      <c r="T15">
        <v>3.4</v>
      </c>
      <c r="U15">
        <v>3.6</v>
      </c>
      <c r="V15">
        <v>3.8</v>
      </c>
      <c r="W15">
        <v>4</v>
      </c>
      <c r="X15">
        <v>4.0999999999999996</v>
      </c>
      <c r="Y15">
        <v>4.2</v>
      </c>
      <c r="Z15">
        <v>4.25</v>
      </c>
      <c r="AA15">
        <v>4.3</v>
      </c>
      <c r="AB15">
        <v>4.3499999999999996</v>
      </c>
      <c r="AC15">
        <v>4.37</v>
      </c>
      <c r="AD15">
        <v>4.4000000000000004</v>
      </c>
      <c r="AE15">
        <v>4.5999999999999996</v>
      </c>
      <c r="AF15">
        <v>4.8</v>
      </c>
      <c r="AG15">
        <v>5</v>
      </c>
    </row>
    <row r="16" spans="1:33" x14ac:dyDescent="0.3">
      <c r="B16" t="s">
        <v>3</v>
      </c>
      <c r="C16">
        <v>0.72</v>
      </c>
      <c r="D16">
        <v>0.7</v>
      </c>
      <c r="E16">
        <v>0.78700000000000003</v>
      </c>
      <c r="F16">
        <v>0.82499999999999996</v>
      </c>
      <c r="G16">
        <v>0.73699999999999999</v>
      </c>
      <c r="H16">
        <v>1.2370000000000001</v>
      </c>
      <c r="I16">
        <v>1.9119999999999999</v>
      </c>
      <c r="J16">
        <v>3.786</v>
      </c>
      <c r="K16">
        <v>5.4109999999999996</v>
      </c>
      <c r="L16">
        <v>7.1219999999999999</v>
      </c>
      <c r="M16">
        <v>9.5090000000000003</v>
      </c>
      <c r="N16">
        <v>11.021000000000001</v>
      </c>
      <c r="O16">
        <v>12.157999999999999</v>
      </c>
      <c r="P16">
        <v>11.170999999999999</v>
      </c>
      <c r="Q16">
        <v>10.984</v>
      </c>
      <c r="R16">
        <v>9.6470000000000002</v>
      </c>
      <c r="S16">
        <v>6.66</v>
      </c>
      <c r="T16">
        <v>4.798</v>
      </c>
      <c r="U16">
        <v>2.399</v>
      </c>
      <c r="V16">
        <v>2.1240000000000001</v>
      </c>
      <c r="W16">
        <v>1.649</v>
      </c>
      <c r="X16">
        <v>7.7850000000000001</v>
      </c>
      <c r="Y16">
        <v>12.433</v>
      </c>
      <c r="Z16">
        <v>13.06</v>
      </c>
      <c r="AA16">
        <v>13.744999999999999</v>
      </c>
      <c r="AB16">
        <v>13.792999999999999</v>
      </c>
      <c r="AC16">
        <v>12.211</v>
      </c>
      <c r="AD16">
        <v>9.1969999999999992</v>
      </c>
      <c r="AE16">
        <v>1.6120000000000001</v>
      </c>
      <c r="AF16">
        <v>0.55000000000000004</v>
      </c>
      <c r="AG16">
        <v>0.51200000000000001</v>
      </c>
    </row>
    <row r="17" spans="2:33" x14ac:dyDescent="0.3">
      <c r="B17" t="s">
        <v>9</v>
      </c>
      <c r="C17">
        <f>C16-$H$3</f>
        <v>0.11699999999999999</v>
      </c>
      <c r="D17">
        <f t="shared" ref="D17:AG17" si="0">D16-$H$3</f>
        <v>9.6999999999999975E-2</v>
      </c>
      <c r="E17">
        <f t="shared" si="0"/>
        <v>0.18400000000000005</v>
      </c>
      <c r="F17">
        <f t="shared" si="0"/>
        <v>0.22199999999999998</v>
      </c>
      <c r="G17">
        <f t="shared" si="0"/>
        <v>0.13400000000000001</v>
      </c>
      <c r="H17">
        <f t="shared" si="0"/>
        <v>0.63400000000000012</v>
      </c>
      <c r="I17">
        <f t="shared" si="0"/>
        <v>1.3089999999999999</v>
      </c>
      <c r="J17">
        <f t="shared" si="0"/>
        <v>3.1829999999999998</v>
      </c>
      <c r="K17">
        <f t="shared" si="0"/>
        <v>4.8079999999999998</v>
      </c>
      <c r="L17">
        <f t="shared" si="0"/>
        <v>6.5190000000000001</v>
      </c>
      <c r="M17">
        <f t="shared" si="0"/>
        <v>8.9060000000000006</v>
      </c>
      <c r="N17">
        <f t="shared" si="0"/>
        <v>10.418000000000001</v>
      </c>
      <c r="O17">
        <f t="shared" si="0"/>
        <v>11.555</v>
      </c>
      <c r="P17">
        <f t="shared" si="0"/>
        <v>10.568</v>
      </c>
      <c r="Q17">
        <f t="shared" si="0"/>
        <v>10.381</v>
      </c>
      <c r="R17">
        <f t="shared" si="0"/>
        <v>9.0440000000000005</v>
      </c>
      <c r="S17">
        <f t="shared" si="0"/>
        <v>6.0570000000000004</v>
      </c>
      <c r="T17">
        <f t="shared" si="0"/>
        <v>4.1950000000000003</v>
      </c>
      <c r="U17">
        <f t="shared" si="0"/>
        <v>1.796</v>
      </c>
      <c r="V17">
        <f t="shared" si="0"/>
        <v>1.5210000000000001</v>
      </c>
      <c r="W17">
        <f t="shared" si="0"/>
        <v>1.046</v>
      </c>
      <c r="X17">
        <f t="shared" si="0"/>
        <v>7.1820000000000004</v>
      </c>
      <c r="Y17">
        <f t="shared" si="0"/>
        <v>11.83</v>
      </c>
      <c r="Z17">
        <f t="shared" si="0"/>
        <v>12.457000000000001</v>
      </c>
      <c r="AA17">
        <f t="shared" si="0"/>
        <v>13.141999999999999</v>
      </c>
      <c r="AB17">
        <f t="shared" si="0"/>
        <v>13.19</v>
      </c>
      <c r="AC17">
        <f t="shared" si="0"/>
        <v>11.608000000000001</v>
      </c>
      <c r="AD17">
        <f t="shared" si="0"/>
        <v>8.5939999999999994</v>
      </c>
      <c r="AE17">
        <f t="shared" si="0"/>
        <v>1.0090000000000001</v>
      </c>
      <c r="AF17">
        <f t="shared" si="0"/>
        <v>-5.2999999999999936E-2</v>
      </c>
      <c r="AG17">
        <f t="shared" si="0"/>
        <v>-9.099999999999997E-2</v>
      </c>
    </row>
    <row r="18" spans="2:33" x14ac:dyDescent="0.3">
      <c r="B18" t="s">
        <v>17</v>
      </c>
      <c r="C18">
        <f>SQRT(C17)/SQRT(80)</f>
        <v>3.824264635194588E-2</v>
      </c>
      <c r="D18">
        <f>SQRT(D17)/SQRT(80)</f>
        <v>3.4820970692960293E-2</v>
      </c>
      <c r="E18">
        <f>SQRT(E17)/SQRT(80)</f>
        <v>4.7958315233127199E-2</v>
      </c>
      <c r="F18">
        <f t="shared" ref="F18:V18" si="1">SQRT(F17)/SQRT(80)</f>
        <v>5.2678268764263687E-2</v>
      </c>
      <c r="G18">
        <f t="shared" si="1"/>
        <v>4.0926763859362253E-2</v>
      </c>
      <c r="H18">
        <f t="shared" si="1"/>
        <v>8.9022469073824287E-2</v>
      </c>
      <c r="I18">
        <f t="shared" si="1"/>
        <v>0.12791598805466031</v>
      </c>
      <c r="J18">
        <f t="shared" si="1"/>
        <v>0.19946804255318693</v>
      </c>
      <c r="K18">
        <f t="shared" si="1"/>
        <v>0.24515301344262524</v>
      </c>
      <c r="L18">
        <f t="shared" si="1"/>
        <v>0.28546015483776366</v>
      </c>
      <c r="M18">
        <f t="shared" si="1"/>
        <v>0.33365401241405745</v>
      </c>
      <c r="N18">
        <f t="shared" si="1"/>
        <v>0.36086701151532263</v>
      </c>
      <c r="O18">
        <f t="shared" si="1"/>
        <v>0.38004933890220094</v>
      </c>
      <c r="P18">
        <f t="shared" si="1"/>
        <v>0.36345563690772492</v>
      </c>
      <c r="Q18">
        <f t="shared" si="1"/>
        <v>0.36022562374156564</v>
      </c>
      <c r="R18">
        <f t="shared" si="1"/>
        <v>0.33622908856908856</v>
      </c>
      <c r="S18">
        <f t="shared" si="1"/>
        <v>0.27515904491766208</v>
      </c>
      <c r="T18">
        <f t="shared" si="1"/>
        <v>0.22899235795108969</v>
      </c>
      <c r="U18">
        <f t="shared" si="1"/>
        <v>0.14983324063771697</v>
      </c>
      <c r="V18">
        <f t="shared" si="1"/>
        <v>0.13788582233137678</v>
      </c>
      <c r="W18">
        <f>SQRT(W17)/SQRT(80)</f>
        <v>0.11434596626029271</v>
      </c>
      <c r="X18">
        <f>SQRT(X17)/SQRT(80)</f>
        <v>0.29962476533157267</v>
      </c>
      <c r="Y18">
        <f>SQRT(Y17)/SQRT(80)</f>
        <v>0.38454518590147502</v>
      </c>
      <c r="Z18">
        <f t="shared" ref="Z18" si="2">SQRT(Z17)/SQRT(80)</f>
        <v>0.39460423211111151</v>
      </c>
      <c r="AA18">
        <f t="shared" ref="AA18" si="3">SQRT(AA17)/SQRT(80)</f>
        <v>0.40530852446007098</v>
      </c>
      <c r="AB18">
        <f t="shared" ref="AB18" si="4">SQRT(AB17)/SQRT(80)</f>
        <v>0.40604802671605239</v>
      </c>
      <c r="AC18">
        <f t="shared" ref="AC18" si="5">SQRT(AC17)/SQRT(80)</f>
        <v>0.38091993909481814</v>
      </c>
      <c r="AD18">
        <f t="shared" ref="AD18" si="6">SQRT(AD17)/SQRT(80)</f>
        <v>0.32775753233144772</v>
      </c>
      <c r="AE18">
        <f t="shared" ref="AE18" si="7">SQRT(AE17)/SQRT(80)</f>
        <v>0.11230538722608101</v>
      </c>
      <c r="AF18">
        <f>SQRT(ABS(AF17))/SQRT(80)</f>
        <v>2.5739075352467482E-2</v>
      </c>
      <c r="AG18">
        <f>SQRT(ABS(AG17))/SQRT(80)</f>
        <v>3.3726843908080097E-2</v>
      </c>
    </row>
    <row r="21" spans="2:33" x14ac:dyDescent="0.3">
      <c r="B21" t="s">
        <v>1</v>
      </c>
      <c r="C21">
        <v>16</v>
      </c>
      <c r="D21">
        <v>17</v>
      </c>
      <c r="E21">
        <v>18</v>
      </c>
      <c r="F21">
        <v>19</v>
      </c>
      <c r="G21">
        <v>20</v>
      </c>
      <c r="H21">
        <v>21</v>
      </c>
      <c r="I21">
        <v>22</v>
      </c>
      <c r="J21">
        <v>23</v>
      </c>
      <c r="K21">
        <v>24</v>
      </c>
      <c r="L21">
        <v>25</v>
      </c>
      <c r="M21">
        <v>26</v>
      </c>
      <c r="N21">
        <v>27</v>
      </c>
      <c r="O21">
        <v>28</v>
      </c>
      <c r="P21">
        <v>29</v>
      </c>
      <c r="Q21">
        <v>30</v>
      </c>
      <c r="R21">
        <v>31</v>
      </c>
    </row>
    <row r="22" spans="2:33" x14ac:dyDescent="0.3">
      <c r="B22" t="s">
        <v>2</v>
      </c>
      <c r="C22">
        <v>3</v>
      </c>
      <c r="D22">
        <v>3.2</v>
      </c>
      <c r="E22">
        <v>3.4</v>
      </c>
      <c r="F22">
        <v>3.6</v>
      </c>
      <c r="G22">
        <v>3.8</v>
      </c>
      <c r="H22">
        <v>4</v>
      </c>
      <c r="I22">
        <v>4.0999999999999996</v>
      </c>
      <c r="J22">
        <v>4.2</v>
      </c>
      <c r="K22">
        <v>4.25</v>
      </c>
      <c r="L22">
        <v>4.3</v>
      </c>
      <c r="M22">
        <v>4.3499999999999996</v>
      </c>
      <c r="N22">
        <v>4.37</v>
      </c>
      <c r="O22">
        <v>4.4000000000000004</v>
      </c>
      <c r="P22">
        <v>4.5999999999999996</v>
      </c>
      <c r="Q22">
        <v>4.8</v>
      </c>
      <c r="R22">
        <v>5</v>
      </c>
    </row>
    <row r="23" spans="2:33" x14ac:dyDescent="0.3">
      <c r="B23" t="s">
        <v>3</v>
      </c>
      <c r="C23">
        <v>9.6470000000000002</v>
      </c>
      <c r="D23">
        <v>6.66</v>
      </c>
      <c r="E23">
        <v>4.798</v>
      </c>
      <c r="F23">
        <v>2.399</v>
      </c>
      <c r="G23">
        <v>2.1240000000000001</v>
      </c>
      <c r="H23">
        <v>1.649</v>
      </c>
      <c r="I23">
        <v>7.7850000000000001</v>
      </c>
      <c r="J23">
        <v>12.433</v>
      </c>
      <c r="K23">
        <v>13.06</v>
      </c>
      <c r="L23">
        <v>13.744999999999999</v>
      </c>
      <c r="M23">
        <v>13.792999999999999</v>
      </c>
      <c r="N23">
        <v>12.211</v>
      </c>
      <c r="O23">
        <v>9.1969999999999992</v>
      </c>
      <c r="P23">
        <v>1.6120000000000001</v>
      </c>
      <c r="Q23">
        <v>0.55000000000000004</v>
      </c>
      <c r="R23">
        <v>0.51200000000000001</v>
      </c>
    </row>
    <row r="24" spans="2:33" x14ac:dyDescent="0.3">
      <c r="B24" t="s">
        <v>9</v>
      </c>
      <c r="C24">
        <v>9.0440000000000005</v>
      </c>
      <c r="D24">
        <v>6.0570000000000004</v>
      </c>
      <c r="E24">
        <v>4.1950000000000003</v>
      </c>
      <c r="F24">
        <v>1.796</v>
      </c>
      <c r="G24">
        <v>1.5210000000000001</v>
      </c>
      <c r="H24">
        <v>1.046</v>
      </c>
      <c r="I24">
        <v>7.1820000000000004</v>
      </c>
      <c r="J24">
        <v>11.83</v>
      </c>
      <c r="K24">
        <v>12.457000000000001</v>
      </c>
      <c r="L24">
        <v>13.141999999999999</v>
      </c>
      <c r="M24">
        <v>13.19</v>
      </c>
      <c r="N24">
        <v>11.608000000000001</v>
      </c>
      <c r="O24">
        <v>8.5939999999999994</v>
      </c>
      <c r="P24">
        <v>1.0090000000000001</v>
      </c>
      <c r="Q24">
        <v>-5.2999999999999936E-2</v>
      </c>
      <c r="R24">
        <v>-9.099999999999997E-2</v>
      </c>
    </row>
    <row r="52" spans="2:33" x14ac:dyDescent="0.3">
      <c r="B52" t="s">
        <v>14</v>
      </c>
    </row>
    <row r="53" spans="2:33" x14ac:dyDescent="0.3">
      <c r="B53">
        <f>1013.5/4.35</f>
        <v>232.98850574712645</v>
      </c>
    </row>
    <row r="55" spans="2:33" x14ac:dyDescent="0.3">
      <c r="B55" t="s">
        <v>1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9</v>
      </c>
      <c r="L55">
        <v>10</v>
      </c>
      <c r="M55">
        <v>11</v>
      </c>
      <c r="N55">
        <v>12</v>
      </c>
      <c r="O55">
        <v>13</v>
      </c>
      <c r="P55">
        <v>14</v>
      </c>
      <c r="Q55">
        <v>15</v>
      </c>
      <c r="R55">
        <v>16</v>
      </c>
      <c r="S55">
        <v>17</v>
      </c>
      <c r="T55">
        <v>18</v>
      </c>
      <c r="U55">
        <v>19</v>
      </c>
      <c r="V55">
        <v>20</v>
      </c>
      <c r="W55">
        <v>21</v>
      </c>
      <c r="X55">
        <v>22</v>
      </c>
      <c r="Y55">
        <v>23</v>
      </c>
      <c r="Z55">
        <v>24</v>
      </c>
      <c r="AA55">
        <v>25</v>
      </c>
      <c r="AB55">
        <v>26</v>
      </c>
      <c r="AC55">
        <v>27</v>
      </c>
      <c r="AD55">
        <v>28</v>
      </c>
      <c r="AE55">
        <v>29</v>
      </c>
      <c r="AF55">
        <v>30</v>
      </c>
      <c r="AG55">
        <v>31</v>
      </c>
    </row>
    <row r="56" spans="2:33" x14ac:dyDescent="0.3">
      <c r="B56" t="s">
        <v>9</v>
      </c>
      <c r="C56">
        <v>0.11699999999999999</v>
      </c>
      <c r="D56">
        <v>9.6999999999999975E-2</v>
      </c>
      <c r="E56">
        <v>0.18400000000000005</v>
      </c>
      <c r="F56">
        <v>0.22199999999999998</v>
      </c>
      <c r="G56">
        <v>0.13400000000000001</v>
      </c>
      <c r="H56">
        <v>0.63400000000000012</v>
      </c>
      <c r="I56">
        <v>1.3089999999999999</v>
      </c>
      <c r="J56">
        <v>3.1829999999999998</v>
      </c>
      <c r="K56">
        <v>4.8079999999999998</v>
      </c>
      <c r="L56">
        <v>6.5190000000000001</v>
      </c>
      <c r="M56">
        <v>8.9060000000000006</v>
      </c>
      <c r="N56">
        <v>10.418000000000001</v>
      </c>
      <c r="O56">
        <v>11.555</v>
      </c>
      <c r="P56">
        <v>10.568</v>
      </c>
      <c r="Q56">
        <v>10.381</v>
      </c>
      <c r="R56">
        <v>9.0440000000000005</v>
      </c>
      <c r="S56">
        <v>6.0570000000000004</v>
      </c>
      <c r="T56">
        <v>4.1950000000000003</v>
      </c>
      <c r="U56">
        <v>1.796</v>
      </c>
      <c r="V56">
        <v>1.5210000000000001</v>
      </c>
      <c r="W56">
        <v>1.046</v>
      </c>
      <c r="X56">
        <v>7.1820000000000004</v>
      </c>
      <c r="Y56">
        <v>11.83</v>
      </c>
      <c r="Z56">
        <v>12.457000000000001</v>
      </c>
      <c r="AA56">
        <v>13.141999999999999</v>
      </c>
      <c r="AB56">
        <v>13.19</v>
      </c>
      <c r="AC56">
        <v>11.608000000000001</v>
      </c>
      <c r="AD56">
        <v>8.5939999999999994</v>
      </c>
      <c r="AE56">
        <v>1.0090000000000001</v>
      </c>
      <c r="AF56">
        <v>-5.2999999999999936E-2</v>
      </c>
      <c r="AG56">
        <v>-9.099999999999997E-2</v>
      </c>
    </row>
    <row r="57" spans="2:33" x14ac:dyDescent="0.3">
      <c r="B57" t="s">
        <v>16</v>
      </c>
      <c r="C57">
        <f>$B$53*C15</f>
        <v>0</v>
      </c>
      <c r="D57">
        <f t="shared" ref="D57:AG57" si="8">$B$53*D15</f>
        <v>46.597701149425291</v>
      </c>
      <c r="E57">
        <f t="shared" si="8"/>
        <v>93.195402298850581</v>
      </c>
      <c r="F57">
        <f t="shared" si="8"/>
        <v>139.79310344827587</v>
      </c>
      <c r="G57">
        <f t="shared" si="8"/>
        <v>186.39080459770116</v>
      </c>
      <c r="H57">
        <f t="shared" si="8"/>
        <v>232.98850574712645</v>
      </c>
      <c r="I57">
        <f t="shared" si="8"/>
        <v>279.58620689655174</v>
      </c>
      <c r="J57">
        <f t="shared" si="8"/>
        <v>326.18390804597703</v>
      </c>
      <c r="K57">
        <f t="shared" si="8"/>
        <v>372.78160919540232</v>
      </c>
      <c r="L57">
        <f t="shared" si="8"/>
        <v>419.37931034482762</v>
      </c>
      <c r="M57">
        <f t="shared" si="8"/>
        <v>465.97701149425291</v>
      </c>
      <c r="N57">
        <f t="shared" si="8"/>
        <v>512.57471264367825</v>
      </c>
      <c r="O57">
        <f t="shared" si="8"/>
        <v>559.17241379310349</v>
      </c>
      <c r="P57">
        <f t="shared" si="8"/>
        <v>605.77011494252883</v>
      </c>
      <c r="Q57">
        <f t="shared" si="8"/>
        <v>652.36781609195407</v>
      </c>
      <c r="R57">
        <f t="shared" si="8"/>
        <v>698.9655172413793</v>
      </c>
      <c r="S57">
        <f t="shared" si="8"/>
        <v>745.56321839080465</v>
      </c>
      <c r="T57">
        <f t="shared" si="8"/>
        <v>792.16091954022988</v>
      </c>
      <c r="U57">
        <f t="shared" si="8"/>
        <v>838.75862068965523</v>
      </c>
      <c r="V57">
        <f t="shared" si="8"/>
        <v>885.35632183908046</v>
      </c>
      <c r="W57">
        <f t="shared" si="8"/>
        <v>931.95402298850581</v>
      </c>
      <c r="X57">
        <f t="shared" si="8"/>
        <v>955.25287356321837</v>
      </c>
      <c r="Y57">
        <f t="shared" si="8"/>
        <v>978.55172413793116</v>
      </c>
      <c r="Z57">
        <f t="shared" si="8"/>
        <v>990.20114942528744</v>
      </c>
      <c r="AA57">
        <f t="shared" si="8"/>
        <v>1001.8505747126437</v>
      </c>
      <c r="AB57">
        <f t="shared" si="8"/>
        <v>1013.5</v>
      </c>
      <c r="AC57">
        <f t="shared" si="8"/>
        <v>1018.1597701149426</v>
      </c>
      <c r="AD57">
        <f t="shared" si="8"/>
        <v>1025.1494252873565</v>
      </c>
      <c r="AE57">
        <f t="shared" si="8"/>
        <v>1071.7471264367816</v>
      </c>
      <c r="AF57">
        <f t="shared" si="8"/>
        <v>1118.344827586207</v>
      </c>
      <c r="AG57">
        <f t="shared" si="8"/>
        <v>1164.9425287356323</v>
      </c>
    </row>
    <row r="60" spans="2:33" x14ac:dyDescent="0.3">
      <c r="B60" t="s">
        <v>1</v>
      </c>
      <c r="C60">
        <v>16</v>
      </c>
      <c r="D60">
        <v>17</v>
      </c>
      <c r="E60">
        <v>18</v>
      </c>
      <c r="F60">
        <v>19</v>
      </c>
      <c r="G60">
        <v>20</v>
      </c>
      <c r="H60">
        <v>21</v>
      </c>
      <c r="I60">
        <v>22</v>
      </c>
      <c r="J60">
        <v>23</v>
      </c>
      <c r="K60">
        <v>24</v>
      </c>
      <c r="L60">
        <v>25</v>
      </c>
      <c r="M60">
        <v>26</v>
      </c>
      <c r="N60">
        <v>27</v>
      </c>
      <c r="O60">
        <v>28</v>
      </c>
      <c r="P60">
        <v>29</v>
      </c>
      <c r="Q60">
        <v>30</v>
      </c>
      <c r="R60">
        <v>31</v>
      </c>
    </row>
    <row r="61" spans="2:33" x14ac:dyDescent="0.3">
      <c r="B61" t="s">
        <v>9</v>
      </c>
      <c r="C61">
        <v>9.0440000000000005</v>
      </c>
      <c r="D61">
        <v>6.0570000000000004</v>
      </c>
      <c r="E61">
        <v>4.1950000000000003</v>
      </c>
      <c r="F61">
        <v>1.796</v>
      </c>
      <c r="G61">
        <v>1.5210000000000001</v>
      </c>
      <c r="H61">
        <v>1.046</v>
      </c>
      <c r="I61">
        <v>7.1820000000000004</v>
      </c>
      <c r="J61">
        <v>11.83</v>
      </c>
      <c r="K61">
        <v>12.457000000000001</v>
      </c>
      <c r="L61">
        <v>13.141999999999999</v>
      </c>
      <c r="M61">
        <v>13.19</v>
      </c>
      <c r="N61">
        <v>11.608000000000001</v>
      </c>
      <c r="O61">
        <v>8.5939999999999994</v>
      </c>
      <c r="P61">
        <v>1.0090000000000001</v>
      </c>
      <c r="Q61">
        <v>-5.2999999999999936E-2</v>
      </c>
      <c r="R61">
        <v>-9.099999999999997E-2</v>
      </c>
    </row>
    <row r="62" spans="2:33" x14ac:dyDescent="0.3">
      <c r="B62" t="s">
        <v>10</v>
      </c>
      <c r="C62" s="1">
        <v>698.9655172413793</v>
      </c>
      <c r="D62" s="1">
        <v>745.56321839080465</v>
      </c>
      <c r="E62" s="1">
        <v>792.16091954022988</v>
      </c>
      <c r="F62" s="1">
        <v>838.75862068965523</v>
      </c>
      <c r="G62" s="1">
        <v>885.35632183908046</v>
      </c>
      <c r="H62" s="1">
        <v>931.95402298850581</v>
      </c>
      <c r="I62" s="1">
        <v>955.25287356321837</v>
      </c>
      <c r="J62" s="1">
        <v>978.55172413793116</v>
      </c>
      <c r="K62" s="1">
        <v>990.20114942528744</v>
      </c>
      <c r="L62" s="1">
        <v>1001.8505747126437</v>
      </c>
      <c r="M62" s="1">
        <v>1013.5</v>
      </c>
      <c r="N62" s="1">
        <v>1018.1597701149426</v>
      </c>
      <c r="O62" s="1">
        <v>1025.1494252873565</v>
      </c>
      <c r="P62" s="1">
        <v>1071.7471264367816</v>
      </c>
      <c r="Q62" s="1">
        <v>1118.344827586207</v>
      </c>
      <c r="R62" s="1">
        <v>1164.9425287356323</v>
      </c>
    </row>
    <row r="101" spans="2:33" x14ac:dyDescent="0.3">
      <c r="B101" t="s">
        <v>11</v>
      </c>
      <c r="C101">
        <v>0.51100000000000001</v>
      </c>
    </row>
    <row r="102" spans="2:33" x14ac:dyDescent="0.3">
      <c r="B102" s="1" t="s">
        <v>12</v>
      </c>
      <c r="C102" s="1">
        <f>((C15/4.35) * 1013.5)^2</f>
        <v>0</v>
      </c>
      <c r="D102" s="1">
        <f>((D15/4.35) * 1013.5)^2</f>
        <v>2171.3457524111509</v>
      </c>
      <c r="E102" s="1">
        <f t="shared" ref="E102:AG102" si="9">((E15/4.35) * 1013.5)^2</f>
        <v>8685.3830096446036</v>
      </c>
      <c r="F102" s="1">
        <f t="shared" si="9"/>
        <v>19542.111771700358</v>
      </c>
      <c r="G102" s="1">
        <f t="shared" si="9"/>
        <v>34741.532038578414</v>
      </c>
      <c r="H102" s="1">
        <f t="shared" si="9"/>
        <v>54283.64381027878</v>
      </c>
      <c r="I102" s="1">
        <f t="shared" si="9"/>
        <v>78168.447086801432</v>
      </c>
      <c r="J102" s="1">
        <f t="shared" si="9"/>
        <v>106395.9418681464</v>
      </c>
      <c r="K102" s="1">
        <f t="shared" si="9"/>
        <v>138966.12815431366</v>
      </c>
      <c r="L102" s="1">
        <f t="shared" si="9"/>
        <v>175879.00594530324</v>
      </c>
      <c r="M102" s="1">
        <f t="shared" si="9"/>
        <v>217134.57524111512</v>
      </c>
      <c r="N102" s="1">
        <f t="shared" si="9"/>
        <v>262732.83604174934</v>
      </c>
      <c r="O102" s="1">
        <f t="shared" si="9"/>
        <v>312673.78834720573</v>
      </c>
      <c r="P102" s="1">
        <f t="shared" si="9"/>
        <v>366957.43215748458</v>
      </c>
      <c r="Q102" s="1">
        <f t="shared" si="9"/>
        <v>425583.7674725856</v>
      </c>
      <c r="R102" s="1">
        <f t="shared" si="9"/>
        <v>488552.79429250892</v>
      </c>
      <c r="S102" s="1">
        <f t="shared" si="9"/>
        <v>555864.51261725463</v>
      </c>
      <c r="T102" s="1">
        <f t="shared" si="9"/>
        <v>627518.92244682251</v>
      </c>
      <c r="U102" s="1">
        <f t="shared" si="9"/>
        <v>703516.02378121298</v>
      </c>
      <c r="V102" s="1">
        <f t="shared" si="9"/>
        <v>783855.81662042544</v>
      </c>
      <c r="W102" s="1">
        <f t="shared" si="9"/>
        <v>868538.30096446048</v>
      </c>
      <c r="X102" s="1">
        <f t="shared" si="9"/>
        <v>912508.05245078611</v>
      </c>
      <c r="Y102" s="1">
        <f t="shared" si="9"/>
        <v>957563.47681331774</v>
      </c>
      <c r="Z102" s="1">
        <f t="shared" si="9"/>
        <v>980498.31632316043</v>
      </c>
      <c r="AA102" s="1">
        <f t="shared" si="9"/>
        <v>1003704.5740520546</v>
      </c>
      <c r="AB102" s="1">
        <f t="shared" si="9"/>
        <v>1027182.25</v>
      </c>
      <c r="AC102" s="1">
        <f t="shared" si="9"/>
        <v>1036649.3174805128</v>
      </c>
      <c r="AD102" s="1">
        <f t="shared" si="9"/>
        <v>1050931.3441669974</v>
      </c>
      <c r="AE102" s="1">
        <f t="shared" si="9"/>
        <v>1148641.9030254988</v>
      </c>
      <c r="AF102" s="1">
        <f t="shared" si="9"/>
        <v>1250695.1533888229</v>
      </c>
      <c r="AG102" s="1">
        <f t="shared" si="9"/>
        <v>1357091.0952569696</v>
      </c>
    </row>
    <row r="103" spans="2:33" x14ac:dyDescent="0.3">
      <c r="B103" s="1" t="s">
        <v>1</v>
      </c>
      <c r="C103" s="1">
        <v>1</v>
      </c>
      <c r="D103" s="1">
        <v>2</v>
      </c>
      <c r="E103" s="1">
        <v>3</v>
      </c>
      <c r="F103" s="1">
        <v>4</v>
      </c>
      <c r="G103" s="1">
        <v>5</v>
      </c>
      <c r="H103" s="1">
        <v>6</v>
      </c>
      <c r="I103" s="1">
        <v>7</v>
      </c>
      <c r="J103" s="1">
        <v>8</v>
      </c>
      <c r="K103" s="1">
        <v>9</v>
      </c>
      <c r="L103" s="1">
        <v>10</v>
      </c>
      <c r="M103" s="1">
        <v>11</v>
      </c>
      <c r="N103" s="1">
        <v>12</v>
      </c>
      <c r="O103" s="1">
        <v>13</v>
      </c>
      <c r="P103" s="1">
        <v>14</v>
      </c>
      <c r="Q103" s="1">
        <v>15</v>
      </c>
      <c r="R103" s="1">
        <v>16</v>
      </c>
      <c r="S103" s="1">
        <v>17</v>
      </c>
      <c r="T103" s="1">
        <v>18</v>
      </c>
      <c r="U103" s="1">
        <v>19</v>
      </c>
      <c r="V103" s="1">
        <v>20</v>
      </c>
      <c r="W103" s="1">
        <v>21</v>
      </c>
      <c r="X103" s="1">
        <v>22</v>
      </c>
      <c r="Y103" s="1">
        <v>23</v>
      </c>
      <c r="Z103" s="1">
        <v>24</v>
      </c>
      <c r="AA103" s="1">
        <v>25</v>
      </c>
      <c r="AB103" s="1">
        <v>26</v>
      </c>
      <c r="AC103" s="1">
        <v>27</v>
      </c>
      <c r="AD103" s="1">
        <v>28</v>
      </c>
      <c r="AE103" s="1">
        <v>29</v>
      </c>
      <c r="AF103" s="1">
        <v>30</v>
      </c>
      <c r="AG103" s="1">
        <v>31</v>
      </c>
    </row>
    <row r="104" spans="2:33" x14ac:dyDescent="0.3">
      <c r="B104" s="1" t="s">
        <v>9</v>
      </c>
      <c r="C104" s="1">
        <f>C17</f>
        <v>0.11699999999999999</v>
      </c>
      <c r="D104" s="1">
        <f t="shared" ref="D104:AG104" si="10">D17</f>
        <v>9.6999999999999975E-2</v>
      </c>
      <c r="E104" s="1">
        <f t="shared" si="10"/>
        <v>0.18400000000000005</v>
      </c>
      <c r="F104" s="1">
        <f t="shared" si="10"/>
        <v>0.22199999999999998</v>
      </c>
      <c r="G104" s="1">
        <f t="shared" si="10"/>
        <v>0.13400000000000001</v>
      </c>
      <c r="H104" s="1">
        <f t="shared" si="10"/>
        <v>0.63400000000000012</v>
      </c>
      <c r="I104" s="1">
        <f t="shared" si="10"/>
        <v>1.3089999999999999</v>
      </c>
      <c r="J104" s="1">
        <f t="shared" si="10"/>
        <v>3.1829999999999998</v>
      </c>
      <c r="K104" s="1">
        <f t="shared" si="10"/>
        <v>4.8079999999999998</v>
      </c>
      <c r="L104" s="1">
        <f t="shared" si="10"/>
        <v>6.5190000000000001</v>
      </c>
      <c r="M104" s="1">
        <f t="shared" si="10"/>
        <v>8.9060000000000006</v>
      </c>
      <c r="N104" s="1">
        <f t="shared" si="10"/>
        <v>10.418000000000001</v>
      </c>
      <c r="O104" s="1">
        <f t="shared" si="10"/>
        <v>11.555</v>
      </c>
      <c r="P104" s="1">
        <f t="shared" si="10"/>
        <v>10.568</v>
      </c>
      <c r="Q104" s="1">
        <f t="shared" si="10"/>
        <v>10.381</v>
      </c>
      <c r="R104" s="1">
        <f t="shared" si="10"/>
        <v>9.0440000000000005</v>
      </c>
      <c r="S104" s="1">
        <f t="shared" si="10"/>
        <v>6.0570000000000004</v>
      </c>
      <c r="T104" s="1">
        <f t="shared" si="10"/>
        <v>4.1950000000000003</v>
      </c>
      <c r="U104" s="1">
        <f t="shared" si="10"/>
        <v>1.796</v>
      </c>
      <c r="V104" s="1">
        <f t="shared" si="10"/>
        <v>1.5210000000000001</v>
      </c>
      <c r="W104" s="1">
        <f t="shared" si="10"/>
        <v>1.046</v>
      </c>
      <c r="X104" s="1">
        <f t="shared" si="10"/>
        <v>7.1820000000000004</v>
      </c>
      <c r="Y104" s="1">
        <f t="shared" si="10"/>
        <v>11.83</v>
      </c>
      <c r="Z104" s="1">
        <f t="shared" si="10"/>
        <v>12.457000000000001</v>
      </c>
      <c r="AA104" s="1">
        <f t="shared" si="10"/>
        <v>13.141999999999999</v>
      </c>
      <c r="AB104" s="1">
        <f t="shared" si="10"/>
        <v>13.19</v>
      </c>
      <c r="AC104" s="1">
        <f t="shared" si="10"/>
        <v>11.608000000000001</v>
      </c>
      <c r="AD104" s="1">
        <f t="shared" si="10"/>
        <v>8.5939999999999994</v>
      </c>
      <c r="AE104" s="1">
        <f t="shared" si="10"/>
        <v>1.0090000000000001</v>
      </c>
      <c r="AF104" s="1">
        <f t="shared" si="10"/>
        <v>-5.2999999999999936E-2</v>
      </c>
      <c r="AG104" s="1">
        <f t="shared" si="10"/>
        <v>-9.099999999999997E-2</v>
      </c>
    </row>
    <row r="105" spans="2:33" x14ac:dyDescent="0.3">
      <c r="B105" s="1" t="s">
        <v>13</v>
      </c>
      <c r="C105" s="1">
        <f>SQRT(C102+(511)^2) - 511</f>
        <v>0</v>
      </c>
      <c r="D105" s="1">
        <f t="shared" ref="D105:AG105" si="11">SQRT(D102+(511)^2) - 511</f>
        <v>2.1202059482857294</v>
      </c>
      <c r="E105" s="1">
        <f t="shared" si="11"/>
        <v>8.4289008224750432</v>
      </c>
      <c r="F105" s="1">
        <f t="shared" si="11"/>
        <v>18.776473403359432</v>
      </c>
      <c r="G105" s="1">
        <f t="shared" si="11"/>
        <v>32.932470108724488</v>
      </c>
      <c r="H105" s="1">
        <f t="shared" si="11"/>
        <v>50.608977679558507</v>
      </c>
      <c r="I105" s="1">
        <f t="shared" si="11"/>
        <v>71.485576719974574</v>
      </c>
      <c r="J105" s="1">
        <f t="shared" si="11"/>
        <v>95.231755905401542</v>
      </c>
      <c r="K105" s="1">
        <f t="shared" si="11"/>
        <v>121.52440913716021</v>
      </c>
      <c r="L105" s="1">
        <f t="shared" si="11"/>
        <v>150.05975973833347</v>
      </c>
      <c r="M105" s="1">
        <f t="shared" si="11"/>
        <v>180.56024700752948</v>
      </c>
      <c r="N105" s="1">
        <f t="shared" si="11"/>
        <v>212.77747688205204</v>
      </c>
      <c r="O105" s="1">
        <f t="shared" si="11"/>
        <v>246.49243451483107</v>
      </c>
      <c r="P105" s="1">
        <f t="shared" si="11"/>
        <v>281.51399492847099</v>
      </c>
      <c r="Q105" s="1">
        <f t="shared" si="11"/>
        <v>317.67651557926126</v>
      </c>
      <c r="R105" s="1">
        <f t="shared" si="11"/>
        <v>354.83704834830723</v>
      </c>
      <c r="S105" s="1">
        <f t="shared" si="11"/>
        <v>392.87250905050462</v>
      </c>
      <c r="T105" s="1">
        <f t="shared" si="11"/>
        <v>431.67699794087605</v>
      </c>
      <c r="U105" s="1">
        <f t="shared" si="11"/>
        <v>471.1593678121759</v>
      </c>
      <c r="V105" s="1">
        <f t="shared" si="11"/>
        <v>511.24107558854507</v>
      </c>
      <c r="W105" s="1">
        <f t="shared" si="11"/>
        <v>551.85431784627031</v>
      </c>
      <c r="X105" s="1">
        <f t="shared" si="11"/>
        <v>572.34161391999805</v>
      </c>
      <c r="Y105" s="1">
        <f t="shared" si="11"/>
        <v>592.94043173230943</v>
      </c>
      <c r="Z105" s="1">
        <f t="shared" si="11"/>
        <v>603.27972983589734</v>
      </c>
      <c r="AA105" s="1">
        <f t="shared" si="11"/>
        <v>613.64464345501347</v>
      </c>
      <c r="AB105" s="1">
        <f t="shared" si="11"/>
        <v>624.03447084218556</v>
      </c>
      <c r="AC105" s="1">
        <f t="shared" si="11"/>
        <v>628.19722501440151</v>
      </c>
      <c r="AD105" s="1">
        <f t="shared" si="11"/>
        <v>634.44853405423555</v>
      </c>
      <c r="AE105" s="1">
        <f t="shared" si="11"/>
        <v>676.33436867021533</v>
      </c>
      <c r="AF105" s="1">
        <f t="shared" si="11"/>
        <v>718.5593330087097</v>
      </c>
      <c r="AG105" s="1">
        <f t="shared" si="11"/>
        <v>761.08965692555239</v>
      </c>
    </row>
    <row r="107" spans="2:33" x14ac:dyDescent="0.3">
      <c r="B107" s="1" t="s">
        <v>12</v>
      </c>
      <c r="C107">
        <v>488552.79429250892</v>
      </c>
      <c r="D107">
        <v>555864.51261725463</v>
      </c>
      <c r="E107">
        <v>627518.92244682251</v>
      </c>
      <c r="F107">
        <v>703516.02378121298</v>
      </c>
      <c r="G107">
        <v>783855.81662042544</v>
      </c>
      <c r="H107">
        <v>868538.30096446048</v>
      </c>
      <c r="I107">
        <v>912508.05245078611</v>
      </c>
      <c r="J107">
        <v>957563.47681331774</v>
      </c>
      <c r="K107">
        <v>980498.31632316043</v>
      </c>
      <c r="L107">
        <v>1003704.5740520546</v>
      </c>
      <c r="M107">
        <v>1027182.25</v>
      </c>
      <c r="N107">
        <v>1036649.3174805128</v>
      </c>
      <c r="O107">
        <v>1050931.3441669974</v>
      </c>
      <c r="P107">
        <v>1148641.9030254988</v>
      </c>
      <c r="Q107">
        <v>1250695.1533888229</v>
      </c>
      <c r="R107">
        <v>1357091.0952569696</v>
      </c>
    </row>
    <row r="108" spans="2:33" x14ac:dyDescent="0.3">
      <c r="B108" s="1" t="s">
        <v>1</v>
      </c>
      <c r="C108">
        <v>16</v>
      </c>
      <c r="D108">
        <v>17</v>
      </c>
      <c r="E108">
        <v>18</v>
      </c>
      <c r="F108">
        <v>19</v>
      </c>
      <c r="G108">
        <v>20</v>
      </c>
      <c r="H108">
        <v>21</v>
      </c>
      <c r="I108">
        <v>22</v>
      </c>
      <c r="J108">
        <v>23</v>
      </c>
      <c r="K108">
        <v>24</v>
      </c>
      <c r="L108">
        <v>25</v>
      </c>
      <c r="M108">
        <v>26</v>
      </c>
      <c r="N108">
        <v>27</v>
      </c>
      <c r="O108">
        <v>28</v>
      </c>
      <c r="P108">
        <v>29</v>
      </c>
      <c r="Q108">
        <v>30</v>
      </c>
      <c r="R108">
        <v>31</v>
      </c>
    </row>
    <row r="109" spans="2:33" x14ac:dyDescent="0.3">
      <c r="B109" s="1" t="s">
        <v>9</v>
      </c>
      <c r="C109">
        <v>9.0440000000000005</v>
      </c>
      <c r="D109">
        <v>6.0570000000000004</v>
      </c>
      <c r="E109">
        <v>4.1950000000000003</v>
      </c>
      <c r="F109">
        <v>1.796</v>
      </c>
      <c r="G109">
        <v>1.5210000000000001</v>
      </c>
      <c r="H109">
        <v>1.046</v>
      </c>
      <c r="I109">
        <v>7.1820000000000004</v>
      </c>
      <c r="J109">
        <v>11.83</v>
      </c>
      <c r="K109">
        <v>12.457000000000001</v>
      </c>
      <c r="L109">
        <v>13.141999999999999</v>
      </c>
      <c r="M109">
        <v>13.19</v>
      </c>
      <c r="N109">
        <v>11.608000000000001</v>
      </c>
      <c r="O109">
        <v>8.5939999999999994</v>
      </c>
      <c r="P109">
        <v>1.0090000000000001</v>
      </c>
      <c r="Q109">
        <v>-5.2999999999999936E-2</v>
      </c>
      <c r="R109">
        <v>-9.099999999999997E-2</v>
      </c>
    </row>
    <row r="110" spans="2:33" x14ac:dyDescent="0.3">
      <c r="B110" s="1" t="s">
        <v>13</v>
      </c>
      <c r="C110">
        <v>354.83704834830723</v>
      </c>
      <c r="D110">
        <v>392.87250905050462</v>
      </c>
      <c r="E110">
        <v>431.67699794087605</v>
      </c>
      <c r="F110">
        <v>471.1593678121759</v>
      </c>
      <c r="G110">
        <v>511.24107558854507</v>
      </c>
      <c r="H110">
        <v>551.85431784627031</v>
      </c>
      <c r="I110">
        <v>572.34161391999805</v>
      </c>
      <c r="J110">
        <v>592.94043173230943</v>
      </c>
      <c r="K110">
        <v>603.27972983589734</v>
      </c>
      <c r="L110">
        <v>613.64464345501347</v>
      </c>
      <c r="M110">
        <v>624.03447084218556</v>
      </c>
      <c r="N110">
        <v>628.19722501440151</v>
      </c>
      <c r="O110">
        <v>634.44853405423555</v>
      </c>
      <c r="P110">
        <v>676.33436867021533</v>
      </c>
      <c r="Q110">
        <v>718.5593330087097</v>
      </c>
      <c r="R110">
        <v>761.08965692555239</v>
      </c>
    </row>
    <row r="145" spans="2:33" x14ac:dyDescent="0.3">
      <c r="B145" t="s">
        <v>1</v>
      </c>
      <c r="C145">
        <v>1</v>
      </c>
      <c r="D145">
        <v>2</v>
      </c>
      <c r="E145">
        <v>3</v>
      </c>
      <c r="F145">
        <v>4</v>
      </c>
      <c r="G145">
        <v>5</v>
      </c>
      <c r="H145">
        <v>6</v>
      </c>
      <c r="I145">
        <v>7</v>
      </c>
      <c r="J145">
        <v>8</v>
      </c>
      <c r="K145">
        <v>9</v>
      </c>
      <c r="L145">
        <v>10</v>
      </c>
      <c r="M145">
        <v>11</v>
      </c>
      <c r="N145">
        <v>12</v>
      </c>
      <c r="O145">
        <v>13</v>
      </c>
      <c r="P145">
        <v>14</v>
      </c>
      <c r="Q145">
        <v>15</v>
      </c>
      <c r="R145">
        <v>16</v>
      </c>
      <c r="S145">
        <v>17</v>
      </c>
      <c r="T145">
        <v>18</v>
      </c>
      <c r="U145">
        <v>19</v>
      </c>
      <c r="V145">
        <v>20</v>
      </c>
      <c r="W145">
        <v>21</v>
      </c>
      <c r="X145">
        <v>22</v>
      </c>
      <c r="Y145">
        <v>23</v>
      </c>
      <c r="Z145">
        <v>24</v>
      </c>
      <c r="AA145">
        <v>25</v>
      </c>
      <c r="AB145">
        <v>26</v>
      </c>
      <c r="AC145">
        <v>27</v>
      </c>
      <c r="AD145">
        <v>28</v>
      </c>
      <c r="AE145">
        <v>29</v>
      </c>
      <c r="AF145">
        <v>30</v>
      </c>
      <c r="AG145">
        <v>31</v>
      </c>
    </row>
    <row r="146" spans="2:33" x14ac:dyDescent="0.3">
      <c r="B146" t="s">
        <v>9</v>
      </c>
      <c r="C146">
        <v>0.11699999999999999</v>
      </c>
      <c r="D146">
        <v>9.6999999999999975E-2</v>
      </c>
      <c r="E146">
        <v>0.18400000000000005</v>
      </c>
      <c r="F146">
        <v>0.22199999999999998</v>
      </c>
      <c r="G146">
        <v>0.13400000000000001</v>
      </c>
      <c r="H146">
        <v>0.63400000000000012</v>
      </c>
      <c r="I146">
        <v>1.3089999999999999</v>
      </c>
      <c r="J146">
        <v>3.1829999999999998</v>
      </c>
      <c r="K146">
        <v>4.8079999999999998</v>
      </c>
      <c r="L146">
        <v>6.5190000000000001</v>
      </c>
      <c r="M146">
        <v>8.9060000000000006</v>
      </c>
      <c r="N146">
        <v>10.418000000000001</v>
      </c>
      <c r="O146">
        <v>11.555</v>
      </c>
      <c r="P146">
        <v>10.568</v>
      </c>
      <c r="Q146">
        <v>10.381</v>
      </c>
      <c r="R146">
        <v>9.0440000000000005</v>
      </c>
      <c r="S146">
        <v>6.0570000000000004</v>
      </c>
      <c r="T146">
        <v>4.1950000000000003</v>
      </c>
      <c r="U146">
        <v>1.796</v>
      </c>
      <c r="V146">
        <v>1.5210000000000001</v>
      </c>
      <c r="W146">
        <v>1.046</v>
      </c>
      <c r="X146">
        <v>7.1820000000000004</v>
      </c>
      <c r="Y146">
        <v>11.83</v>
      </c>
      <c r="Z146">
        <v>12.457000000000001</v>
      </c>
      <c r="AA146">
        <v>13.141999999999999</v>
      </c>
      <c r="AB146">
        <v>13.19</v>
      </c>
      <c r="AC146">
        <v>11.608000000000001</v>
      </c>
      <c r="AD146">
        <v>8.5939999999999994</v>
      </c>
      <c r="AE146">
        <v>1.0090000000000001</v>
      </c>
      <c r="AF146">
        <v>-5.2999999999999936E-2</v>
      </c>
      <c r="AG146">
        <v>-9.099999999999997E-2</v>
      </c>
    </row>
    <row r="147" spans="2:33" x14ac:dyDescent="0.3">
      <c r="B147" t="s">
        <v>13</v>
      </c>
      <c r="C147">
        <f>C105</f>
        <v>0</v>
      </c>
      <c r="D147">
        <f t="shared" ref="D147:AG147" si="12">D105</f>
        <v>2.1202059482857294</v>
      </c>
      <c r="E147">
        <f t="shared" si="12"/>
        <v>8.4289008224750432</v>
      </c>
      <c r="F147">
        <f t="shared" si="12"/>
        <v>18.776473403359432</v>
      </c>
      <c r="G147">
        <f t="shared" si="12"/>
        <v>32.932470108724488</v>
      </c>
      <c r="H147">
        <f t="shared" si="12"/>
        <v>50.608977679558507</v>
      </c>
      <c r="I147">
        <f t="shared" si="12"/>
        <v>71.485576719974574</v>
      </c>
      <c r="J147">
        <f t="shared" si="12"/>
        <v>95.231755905401542</v>
      </c>
      <c r="K147">
        <f t="shared" si="12"/>
        <v>121.52440913716021</v>
      </c>
      <c r="L147">
        <f t="shared" si="12"/>
        <v>150.05975973833347</v>
      </c>
      <c r="M147">
        <f t="shared" si="12"/>
        <v>180.56024700752948</v>
      </c>
      <c r="N147">
        <f t="shared" si="12"/>
        <v>212.77747688205204</v>
      </c>
      <c r="O147">
        <f t="shared" si="12"/>
        <v>246.49243451483107</v>
      </c>
      <c r="P147">
        <f t="shared" si="12"/>
        <v>281.51399492847099</v>
      </c>
      <c r="Q147">
        <f t="shared" si="12"/>
        <v>317.67651557926126</v>
      </c>
      <c r="R147">
        <f t="shared" si="12"/>
        <v>354.83704834830723</v>
      </c>
      <c r="S147">
        <f t="shared" si="12"/>
        <v>392.87250905050462</v>
      </c>
      <c r="T147">
        <f t="shared" si="12"/>
        <v>431.67699794087605</v>
      </c>
      <c r="U147">
        <f t="shared" si="12"/>
        <v>471.1593678121759</v>
      </c>
      <c r="V147">
        <f t="shared" si="12"/>
        <v>511.24107558854507</v>
      </c>
      <c r="W147">
        <f t="shared" si="12"/>
        <v>551.85431784627031</v>
      </c>
      <c r="X147">
        <f t="shared" si="12"/>
        <v>572.34161391999805</v>
      </c>
      <c r="Y147">
        <f t="shared" si="12"/>
        <v>592.94043173230943</v>
      </c>
      <c r="Z147">
        <f t="shared" si="12"/>
        <v>603.27972983589734</v>
      </c>
      <c r="AA147">
        <f t="shared" si="12"/>
        <v>613.64464345501347</v>
      </c>
      <c r="AB147">
        <f t="shared" si="12"/>
        <v>624.03447084218556</v>
      </c>
      <c r="AC147">
        <f t="shared" si="12"/>
        <v>628.19722501440151</v>
      </c>
      <c r="AD147">
        <f t="shared" si="12"/>
        <v>634.44853405423555</v>
      </c>
      <c r="AE147">
        <f t="shared" si="12"/>
        <v>676.33436867021533</v>
      </c>
      <c r="AF147">
        <f t="shared" si="12"/>
        <v>718.5593330087097</v>
      </c>
      <c r="AG147">
        <f t="shared" si="12"/>
        <v>761.08965692555239</v>
      </c>
    </row>
    <row r="148" spans="2:33" x14ac:dyDescent="0.3">
      <c r="B148" t="s">
        <v>15</v>
      </c>
      <c r="F148">
        <f t="shared" ref="F148:AE148" si="13">SQRT(F146)*1000000/F102</f>
        <v>24.110432131388503</v>
      </c>
      <c r="G148">
        <f t="shared" si="13"/>
        <v>10.536671323186741</v>
      </c>
      <c r="H148">
        <f t="shared" si="13"/>
        <v>14.668159939274464</v>
      </c>
      <c r="I148">
        <f t="shared" si="13"/>
        <v>14.636537137889075</v>
      </c>
      <c r="J148">
        <f t="shared" si="13"/>
        <v>16.768462956622621</v>
      </c>
      <c r="K148">
        <f t="shared" si="13"/>
        <v>15.778774589960792</v>
      </c>
      <c r="L148">
        <f t="shared" si="13"/>
        <v>14.516987008292803</v>
      </c>
      <c r="M148">
        <f t="shared" si="13"/>
        <v>13.743975171064694</v>
      </c>
      <c r="N148">
        <f t="shared" si="13"/>
        <v>12.285075299187003</v>
      </c>
      <c r="O148">
        <f t="shared" si="13"/>
        <v>10.871600860197544</v>
      </c>
      <c r="P148">
        <f t="shared" si="13"/>
        <v>8.8589186615233206</v>
      </c>
      <c r="Q148">
        <f t="shared" si="13"/>
        <v>7.5706739165072996</v>
      </c>
      <c r="R148">
        <f t="shared" si="13"/>
        <v>6.1555770990280267</v>
      </c>
      <c r="S148">
        <f t="shared" si="13"/>
        <v>4.4275129287374604</v>
      </c>
      <c r="T148">
        <f t="shared" si="13"/>
        <v>3.2639173761329419</v>
      </c>
      <c r="U148">
        <f t="shared" si="13"/>
        <v>1.9049306627262412</v>
      </c>
      <c r="V148">
        <f t="shared" si="13"/>
        <v>1.5733611479506007</v>
      </c>
      <c r="W148">
        <f t="shared" si="13"/>
        <v>1.1775432504334624</v>
      </c>
      <c r="X148">
        <f t="shared" si="13"/>
        <v>2.9368786005752101</v>
      </c>
      <c r="Y148">
        <f t="shared" si="13"/>
        <v>3.5919046493191513</v>
      </c>
      <c r="Z148">
        <f t="shared" si="13"/>
        <v>3.5996467205303593</v>
      </c>
      <c r="AA148">
        <f t="shared" si="13"/>
        <v>3.6118094346986696</v>
      </c>
      <c r="AB148">
        <f t="shared" si="13"/>
        <v>3.5356957925109933</v>
      </c>
      <c r="AC148">
        <f t="shared" si="13"/>
        <v>3.2865998691678291</v>
      </c>
      <c r="AD148">
        <f t="shared" si="13"/>
        <v>2.7894804984111055</v>
      </c>
      <c r="AE148">
        <f t="shared" si="13"/>
        <v>0.87450224274598487</v>
      </c>
    </row>
    <row r="150" spans="2:33" x14ac:dyDescent="0.3">
      <c r="J150">
        <v>95.231755905401542</v>
      </c>
      <c r="K150">
        <v>121.52440913716021</v>
      </c>
      <c r="L150">
        <v>150.05975973833347</v>
      </c>
      <c r="M150">
        <v>180.56024700752948</v>
      </c>
      <c r="N150">
        <v>212.77747688205204</v>
      </c>
      <c r="O150">
        <v>246.49243451483107</v>
      </c>
      <c r="P150">
        <v>281.51399492847099</v>
      </c>
      <c r="Q150">
        <v>317.67651557926126</v>
      </c>
      <c r="R150">
        <v>354.83704834830723</v>
      </c>
      <c r="S150">
        <v>392.87250905050462</v>
      </c>
      <c r="T150">
        <v>431.67699794087605</v>
      </c>
    </row>
    <row r="151" spans="2:33" x14ac:dyDescent="0.3">
      <c r="J151">
        <v>16.768462956622621</v>
      </c>
      <c r="K151">
        <v>15.778774589960792</v>
      </c>
      <c r="L151">
        <v>14.516987008292803</v>
      </c>
      <c r="M151">
        <v>13.743975171064694</v>
      </c>
      <c r="N151">
        <v>12.285075299187003</v>
      </c>
      <c r="O151">
        <v>10.871600860197544</v>
      </c>
      <c r="P151">
        <v>8.8589186615233206</v>
      </c>
      <c r="Q151">
        <v>7.5706739165072996</v>
      </c>
      <c r="R151">
        <v>6.1555770990280267</v>
      </c>
      <c r="S151">
        <v>4.4275129287374604</v>
      </c>
      <c r="T151">
        <v>3.2639173761329419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2018-12-07T14:38:04Z</dcterms:modified>
</cp:coreProperties>
</file>