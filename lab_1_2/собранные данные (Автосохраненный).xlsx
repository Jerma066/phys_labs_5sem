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10" i="1" l="1"/>
  <c r="C25" i="1" l="1"/>
  <c r="C26" i="1"/>
  <c r="B25" i="1"/>
  <c r="B23" i="1"/>
  <c r="C22" i="1"/>
  <c r="D22" i="1"/>
  <c r="E22" i="1"/>
  <c r="F22" i="1"/>
  <c r="G22" i="1"/>
  <c r="H22" i="1"/>
  <c r="I22" i="1"/>
  <c r="J22" i="1"/>
  <c r="K22" i="1"/>
  <c r="L22" i="1"/>
  <c r="M22" i="1"/>
  <c r="N22" i="1"/>
  <c r="B22" i="1"/>
  <c r="B21" i="1"/>
  <c r="B19" i="1"/>
  <c r="C18" i="1"/>
  <c r="D18" i="1"/>
  <c r="E18" i="1"/>
  <c r="F18" i="1"/>
  <c r="G18" i="1"/>
  <c r="H18" i="1"/>
  <c r="I18" i="1"/>
  <c r="J18" i="1"/>
  <c r="K18" i="1"/>
  <c r="L18" i="1"/>
  <c r="M18" i="1"/>
  <c r="N18" i="1"/>
  <c r="B18" i="1"/>
  <c r="B17" i="1"/>
  <c r="C8" i="1"/>
  <c r="C12" i="1" s="1"/>
  <c r="D8" i="1"/>
  <c r="E8" i="1"/>
  <c r="F8" i="1"/>
  <c r="G8" i="1"/>
  <c r="H8" i="1"/>
  <c r="I8" i="1"/>
  <c r="J8" i="1"/>
  <c r="K8" i="1"/>
  <c r="L8" i="1"/>
  <c r="M8" i="1"/>
  <c r="N8" i="1"/>
  <c r="B8" i="1"/>
  <c r="E12" i="1"/>
  <c r="F12" i="1"/>
  <c r="G12" i="1"/>
  <c r="H12" i="1"/>
  <c r="I12" i="1"/>
  <c r="J12" i="1"/>
  <c r="K12" i="1"/>
  <c r="L12" i="1"/>
  <c r="M12" i="1"/>
  <c r="N12" i="1"/>
  <c r="B12" i="1"/>
  <c r="C10" i="1"/>
  <c r="E10" i="1"/>
  <c r="F10" i="1"/>
  <c r="G10" i="1"/>
  <c r="H10" i="1"/>
  <c r="I10" i="1"/>
  <c r="J10" i="1"/>
  <c r="K10" i="1"/>
  <c r="L10" i="1"/>
  <c r="M10" i="1"/>
  <c r="N10" i="1"/>
  <c r="B10" i="1"/>
  <c r="F6" i="1"/>
  <c r="F7" i="1"/>
  <c r="B7" i="1"/>
  <c r="B14" i="1" l="1"/>
  <c r="C7" i="1"/>
  <c r="E7" i="1"/>
  <c r="G7" i="1"/>
  <c r="H7" i="1"/>
  <c r="I7" i="1"/>
  <c r="J7" i="1"/>
  <c r="K7" i="1"/>
  <c r="L7" i="1"/>
  <c r="M7" i="1"/>
  <c r="N7" i="1"/>
  <c r="E6" i="1"/>
  <c r="G6" i="1"/>
  <c r="H6" i="1"/>
  <c r="I6" i="1"/>
  <c r="J6" i="1"/>
  <c r="K6" i="1"/>
  <c r="L6" i="1"/>
  <c r="M6" i="1"/>
  <c r="N6" i="1"/>
  <c r="C6" i="1"/>
  <c r="B6" i="1"/>
</calcChain>
</file>

<file path=xl/sharedStrings.xml><?xml version="1.0" encoding="utf-8"?>
<sst xmlns="http://schemas.openxmlformats.org/spreadsheetml/2006/main" count="15" uniqueCount="15">
  <si>
    <r>
      <t>1-cos(</t>
    </r>
    <r>
      <rPr>
        <sz val="11"/>
        <color theme="1"/>
        <rFont val="Calibri"/>
        <family val="2"/>
        <charset val="204"/>
      </rPr>
      <t>θ)</t>
    </r>
  </si>
  <si>
    <t>1/N(θ)</t>
  </si>
  <si>
    <t>Nmax</t>
  </si>
  <si>
    <r>
      <t>Канал (N(</t>
    </r>
    <r>
      <rPr>
        <sz val="11"/>
        <color theme="1"/>
        <rFont val="Calibri"/>
        <family val="2"/>
        <charset val="204"/>
      </rPr>
      <t>θ</t>
    </r>
    <r>
      <rPr>
        <sz val="11"/>
        <color theme="1"/>
        <rFont val="Calibri"/>
        <family val="2"/>
        <scheme val="minor"/>
      </rPr>
      <t>))</t>
    </r>
  </si>
  <si>
    <t>угол θ в градусах</t>
  </si>
  <si>
    <t>сигма</t>
  </si>
  <si>
    <t>theor</t>
  </si>
  <si>
    <t>&lt;y&gt;^2</t>
  </si>
  <si>
    <t>y^2</t>
  </si>
  <si>
    <t>&lt;y^2&gt;</t>
  </si>
  <si>
    <t>&lt;x&gt;^2</t>
  </si>
  <si>
    <t>x^2</t>
  </si>
  <si>
    <t>&lt;x^2&gt;</t>
  </si>
  <si>
    <t>Gy</t>
  </si>
  <si>
    <t>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</si>
</sst>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3"/>
          </c:marker>
          <c:trendline>
            <c:spPr>
              <a:ln cmpd="sng">
                <a:solidFill>
                  <a:schemeClr val="tx2">
                    <a:lumMod val="50000"/>
                  </a:schemeClr>
                </a:solidFill>
                <a:prstDash val="solid"/>
              </a:ln>
            </c:spPr>
            <c:trendlineType val="linear"/>
            <c:forward val="5.000000000000001E-2"/>
            <c:dispRSqr val="0"/>
            <c:dispEq val="1"/>
            <c:trendlineLbl>
              <c:layout>
                <c:manualLayout>
                  <c:x val="-0.31586310297219727"/>
                  <c:y val="6.3463907745212211E-2"/>
                </c:manualLayout>
              </c:layout>
              <c:numFmt formatCode="General" sourceLinked="0"/>
            </c:trendlineLbl>
          </c:trendline>
          <c:errBars>
            <c:errDir val="x"/>
            <c:errBarType val="both"/>
            <c:errValType val="percentage"/>
            <c:noEndCap val="0"/>
            <c:val val="0"/>
          </c:errBars>
          <c:errBars>
            <c:errDir val="y"/>
            <c:errBarType val="both"/>
            <c:errValType val="cust"/>
            <c:noEndCap val="0"/>
            <c:plus>
              <c:numRef>
                <c:f>Лист1!$B$8:$N$8</c:f>
                <c:numCache>
                  <c:formatCode>General</c:formatCode>
                  <c:ptCount val="13"/>
                  <c:pt idx="0">
                    <c:v>3.3298647242455777E-5</c:v>
                  </c:pt>
                  <c:pt idx="1">
                    <c:v>3.7945191964726148E-5</c:v>
                  </c:pt>
                  <c:pt idx="2">
                    <c:v>0</c:v>
                  </c:pt>
                  <c:pt idx="3">
                    <c:v>4.3895747599451298E-5</c:v>
                  </c:pt>
                  <c:pt idx="4">
                    <c:v>5.6303770100445923E-5</c:v>
                  </c:pt>
                  <c:pt idx="5">
                    <c:v>7.1199715201139191E-5</c:v>
                  </c:pt>
                  <c:pt idx="6">
                    <c:v>9.2895362663495844E-5</c:v>
                  </c:pt>
                  <c:pt idx="7">
                    <c:v>1.1501590094830608E-4</c:v>
                  </c:pt>
                  <c:pt idx="8">
                    <c:v>1.4930275612887813E-4</c:v>
                  </c:pt>
                  <c:pt idx="9">
                    <c:v>1.6901027582477015E-4</c:v>
                  </c:pt>
                  <c:pt idx="10">
                    <c:v>2.0545693622616698E-4</c:v>
                  </c:pt>
                  <c:pt idx="11">
                    <c:v>2.6065763922376156E-4</c:v>
                  </c:pt>
                  <c:pt idx="12">
                    <c:v>2.869605142332415E-4</c:v>
                  </c:pt>
                </c:numCache>
              </c:numRef>
            </c:plus>
            <c:minus>
              <c:numRef>
                <c:f>Лист1!$B$8:$N$8</c:f>
                <c:numCache>
                  <c:formatCode>General</c:formatCode>
                  <c:ptCount val="13"/>
                  <c:pt idx="0">
                    <c:v>3.3298647242455777E-5</c:v>
                  </c:pt>
                  <c:pt idx="1">
                    <c:v>3.7945191964726148E-5</c:v>
                  </c:pt>
                  <c:pt idx="2">
                    <c:v>0</c:v>
                  </c:pt>
                  <c:pt idx="3">
                    <c:v>4.3895747599451298E-5</c:v>
                  </c:pt>
                  <c:pt idx="4">
                    <c:v>5.6303770100445923E-5</c:v>
                  </c:pt>
                  <c:pt idx="5">
                    <c:v>7.1199715201139191E-5</c:v>
                  </c:pt>
                  <c:pt idx="6">
                    <c:v>9.2895362663495844E-5</c:v>
                  </c:pt>
                  <c:pt idx="7">
                    <c:v>1.1501590094830608E-4</c:v>
                  </c:pt>
                  <c:pt idx="8">
                    <c:v>1.4930275612887813E-4</c:v>
                  </c:pt>
                  <c:pt idx="9">
                    <c:v>1.6901027582477015E-4</c:v>
                  </c:pt>
                  <c:pt idx="10">
                    <c:v>2.0545693622616698E-4</c:v>
                  </c:pt>
                  <c:pt idx="11">
                    <c:v>2.6065763922376156E-4</c:v>
                  </c:pt>
                  <c:pt idx="12">
                    <c:v>2.869605142332415E-4</c:v>
                  </c:pt>
                </c:numCache>
              </c:numRef>
            </c:minus>
            <c:spPr>
              <a:ln w="15875"/>
            </c:spPr>
          </c:errBars>
          <c:xVal>
            <c:numRef>
              <c:f>Лист1!$B$6:$N$6</c:f>
              <c:numCache>
                <c:formatCode>General</c:formatCode>
                <c:ptCount val="13"/>
                <c:pt idx="0">
                  <c:v>0</c:v>
                </c:pt>
                <c:pt idx="1">
                  <c:v>1.4999999999999999E-2</c:v>
                </c:pt>
                <c:pt idx="3">
                  <c:v>0.13400000000000001</c:v>
                </c:pt>
                <c:pt idx="4">
                  <c:v>0.23400000000000001</c:v>
                </c:pt>
                <c:pt idx="5">
                  <c:v>0.35699999999999998</c:v>
                </c:pt>
                <c:pt idx="6">
                  <c:v>0.5</c:v>
                </c:pt>
                <c:pt idx="7">
                  <c:v>0.65800000000000003</c:v>
                </c:pt>
                <c:pt idx="8">
                  <c:v>0.82599999999999996</c:v>
                </c:pt>
                <c:pt idx="9">
                  <c:v>1</c:v>
                </c:pt>
                <c:pt idx="10">
                  <c:v>1.1739999999999999</c:v>
                </c:pt>
                <c:pt idx="11">
                  <c:v>1.3420000000000001</c:v>
                </c:pt>
                <c:pt idx="12">
                  <c:v>1.5</c:v>
                </c:pt>
              </c:numCache>
            </c:numRef>
          </c:xVal>
          <c:yVal>
            <c:numRef>
              <c:f>Лист1!$B$7:$N$7</c:f>
              <c:numCache>
                <c:formatCode>General</c:formatCode>
                <c:ptCount val="13"/>
                <c:pt idx="0">
                  <c:v>1.2903225806451613E-3</c:v>
                </c:pt>
                <c:pt idx="1">
                  <c:v>1.3774104683195593E-3</c:v>
                </c:pt>
                <c:pt idx="3">
                  <c:v>1.4814814814814814E-3</c:v>
                </c:pt>
                <c:pt idx="4">
                  <c:v>1.6778523489932886E-3</c:v>
                </c:pt>
                <c:pt idx="5">
                  <c:v>1.8867924528301887E-3</c:v>
                </c:pt>
                <c:pt idx="6">
                  <c:v>2.1551724137931034E-3</c:v>
                </c:pt>
                <c:pt idx="7">
                  <c:v>2.3980815347721821E-3</c:v>
                </c:pt>
                <c:pt idx="8">
                  <c:v>2.7322404371584699E-3</c:v>
                </c:pt>
                <c:pt idx="9">
                  <c:v>2.9069767441860465E-3</c:v>
                </c:pt>
                <c:pt idx="10">
                  <c:v>3.205128205128205E-3</c:v>
                </c:pt>
                <c:pt idx="11">
                  <c:v>3.6101083032490976E-3</c:v>
                </c:pt>
                <c:pt idx="12">
                  <c:v>3.787878787878788E-3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54176"/>
        <c:axId val="60756352"/>
      </c:scatterChart>
      <c:valAx>
        <c:axId val="60754176"/>
        <c:scaling>
          <c:orientation val="minMax"/>
          <c:max val="1.6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1" i="0" u="none" strike="noStrike" baseline="0">
                    <a:effectLst/>
                  </a:rPr>
                  <a:t>1-</a:t>
                </a:r>
                <a:r>
                  <a:rPr lang="en-US" sz="1000" b="1" i="0" u="none" strike="noStrike" baseline="0">
                    <a:effectLst/>
                  </a:rPr>
                  <a:t>cos(</a:t>
                </a:r>
                <a:r>
                  <a:rPr lang="el-GR" sz="1000" b="1" i="0" u="none" strike="noStrike" baseline="0">
                    <a:effectLst/>
                  </a:rPr>
                  <a:t>θ</a:t>
                </a:r>
                <a:r>
                  <a:rPr lang="en-US"/>
                  <a:t>)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0756352"/>
        <c:crosses val="autoZero"/>
        <c:crossBetween val="midCat"/>
        <c:majorUnit val="0.1"/>
      </c:valAx>
      <c:valAx>
        <c:axId val="60756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>
                    <a:effectLst/>
                  </a:rPr>
                  <a:t>1/N(</a:t>
                </a:r>
                <a:r>
                  <a:rPr lang="el-GR" sz="1000" b="1" i="0" u="none" strike="noStrike" baseline="0">
                    <a:effectLst/>
                  </a:rPr>
                  <a:t>θ</a:t>
                </a:r>
                <a:r>
                  <a:rPr lang="en-US" sz="1000" b="1" i="0" u="none" strike="noStrike" baseline="0">
                    <a:effectLst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4573551178816013E-2"/>
              <c:y val="0.401491412995258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0754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577844</xdr:colOff>
      <xdr:row>4</xdr:row>
      <xdr:rowOff>60960</xdr:rowOff>
    </xdr:from>
    <xdr:to>
      <xdr:col>28</xdr:col>
      <xdr:colOff>419099</xdr:colOff>
      <xdr:row>30</xdr:row>
      <xdr:rowOff>143506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E1" zoomScaleNormal="100" workbookViewId="0">
      <selection activeCell="B12" sqref="B12"/>
    </sheetView>
  </sheetViews>
  <sheetFormatPr defaultRowHeight="14.4" x14ac:dyDescent="0.3"/>
  <cols>
    <col min="1" max="1" width="16.77734375" customWidth="1"/>
    <col min="2" max="2" width="12" bestFit="1" customWidth="1"/>
    <col min="3" max="3" width="14.6640625" customWidth="1"/>
  </cols>
  <sheetData>
    <row r="1" spans="1:14" x14ac:dyDescent="0.3">
      <c r="A1" s="1" t="s">
        <v>4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>
        <v>110</v>
      </c>
      <c r="N1">
        <v>120</v>
      </c>
    </row>
    <row r="2" spans="1:14" x14ac:dyDescent="0.3">
      <c r="A2" t="s">
        <v>3</v>
      </c>
      <c r="B2">
        <v>775</v>
      </c>
      <c r="C2">
        <v>726</v>
      </c>
      <c r="D2">
        <v>512</v>
      </c>
      <c r="E2">
        <v>675</v>
      </c>
      <c r="F2">
        <v>596</v>
      </c>
      <c r="G2">
        <v>530</v>
      </c>
      <c r="H2">
        <v>464</v>
      </c>
      <c r="I2">
        <v>417</v>
      </c>
      <c r="J2">
        <v>366</v>
      </c>
      <c r="K2">
        <v>344</v>
      </c>
      <c r="L2">
        <v>312</v>
      </c>
      <c r="M2">
        <v>277</v>
      </c>
      <c r="N2">
        <v>264</v>
      </c>
    </row>
    <row r="3" spans="1:14" x14ac:dyDescent="0.3">
      <c r="A3" t="s">
        <v>2</v>
      </c>
      <c r="B3">
        <v>1616</v>
      </c>
      <c r="C3">
        <v>1172</v>
      </c>
      <c r="D3">
        <v>87</v>
      </c>
      <c r="E3">
        <v>197</v>
      </c>
      <c r="F3">
        <v>134</v>
      </c>
      <c r="G3">
        <v>112</v>
      </c>
      <c r="H3">
        <v>134</v>
      </c>
      <c r="I3">
        <v>96</v>
      </c>
      <c r="J3">
        <v>93</v>
      </c>
      <c r="K3">
        <v>135</v>
      </c>
      <c r="L3">
        <v>137</v>
      </c>
      <c r="M3">
        <v>149</v>
      </c>
      <c r="N3">
        <v>174</v>
      </c>
    </row>
    <row r="6" spans="1:14" x14ac:dyDescent="0.3">
      <c r="A6" t="s">
        <v>0</v>
      </c>
      <c r="B6">
        <f>1 - COS(PI()*(B1/180))</f>
        <v>0</v>
      </c>
      <c r="C6">
        <f>ROUND(1 - COS(PI()*(C1/180)),3)</f>
        <v>1.4999999999999999E-2</v>
      </c>
      <c r="E6">
        <f t="shared" ref="E6:N6" si="0">ROUND(1 - COS(PI()*(E1/180)),3)</f>
        <v>0.13400000000000001</v>
      </c>
      <c r="F6">
        <f t="shared" si="0"/>
        <v>0.23400000000000001</v>
      </c>
      <c r="G6">
        <f t="shared" si="0"/>
        <v>0.35699999999999998</v>
      </c>
      <c r="H6">
        <f t="shared" si="0"/>
        <v>0.5</v>
      </c>
      <c r="I6">
        <f t="shared" si="0"/>
        <v>0.65800000000000003</v>
      </c>
      <c r="J6">
        <f t="shared" si="0"/>
        <v>0.82599999999999996</v>
      </c>
      <c r="K6">
        <f t="shared" si="0"/>
        <v>1</v>
      </c>
      <c r="L6">
        <f t="shared" si="0"/>
        <v>1.1739999999999999</v>
      </c>
      <c r="M6">
        <f t="shared" si="0"/>
        <v>1.3420000000000001</v>
      </c>
      <c r="N6">
        <f t="shared" si="0"/>
        <v>1.5</v>
      </c>
    </row>
    <row r="7" spans="1:14" x14ac:dyDescent="0.3">
      <c r="A7" t="s">
        <v>1</v>
      </c>
      <c r="B7">
        <f>1/B2</f>
        <v>1.2903225806451613E-3</v>
      </c>
      <c r="C7">
        <f t="shared" ref="C7:N7" si="1">1/C2</f>
        <v>1.3774104683195593E-3</v>
      </c>
      <c r="E7">
        <f t="shared" si="1"/>
        <v>1.4814814814814814E-3</v>
      </c>
      <c r="F7">
        <f t="shared" si="1"/>
        <v>1.6778523489932886E-3</v>
      </c>
      <c r="G7">
        <f t="shared" si="1"/>
        <v>1.8867924528301887E-3</v>
      </c>
      <c r="H7">
        <f t="shared" si="1"/>
        <v>2.1551724137931034E-3</v>
      </c>
      <c r="I7">
        <f t="shared" si="1"/>
        <v>2.3980815347721821E-3</v>
      </c>
      <c r="J7">
        <f t="shared" si="1"/>
        <v>2.7322404371584699E-3</v>
      </c>
      <c r="K7">
        <f t="shared" si="1"/>
        <v>2.9069767441860465E-3</v>
      </c>
      <c r="L7">
        <f t="shared" si="1"/>
        <v>3.205128205128205E-3</v>
      </c>
      <c r="M7">
        <f t="shared" si="1"/>
        <v>3.6101083032490976E-3</v>
      </c>
      <c r="N7">
        <f t="shared" si="1"/>
        <v>3.787878787878788E-3</v>
      </c>
    </row>
    <row r="8" spans="1:14" x14ac:dyDescent="0.3">
      <c r="A8" t="s">
        <v>5</v>
      </c>
      <c r="B8">
        <f>20*B7*B7</f>
        <v>3.3298647242455777E-5</v>
      </c>
      <c r="C8">
        <f t="shared" ref="C8:N8" si="2">20*C7*C7</f>
        <v>3.7945191964726148E-5</v>
      </c>
      <c r="D8">
        <f t="shared" si="2"/>
        <v>0</v>
      </c>
      <c r="E8">
        <f t="shared" si="2"/>
        <v>4.3895747599451298E-5</v>
      </c>
      <c r="F8">
        <f t="shared" si="2"/>
        <v>5.6303770100445923E-5</v>
      </c>
      <c r="G8">
        <f t="shared" si="2"/>
        <v>7.1199715201139191E-5</v>
      </c>
      <c r="H8">
        <f t="shared" si="2"/>
        <v>9.2895362663495844E-5</v>
      </c>
      <c r="I8">
        <f t="shared" si="2"/>
        <v>1.1501590094830608E-4</v>
      </c>
      <c r="J8">
        <f t="shared" si="2"/>
        <v>1.4930275612887813E-4</v>
      </c>
      <c r="K8">
        <f t="shared" si="2"/>
        <v>1.6901027582477015E-4</v>
      </c>
      <c r="L8">
        <f t="shared" si="2"/>
        <v>2.0545693622616698E-4</v>
      </c>
      <c r="M8">
        <f t="shared" si="2"/>
        <v>2.6065763922376156E-4</v>
      </c>
      <c r="N8">
        <f t="shared" si="2"/>
        <v>2.869605142332415E-4</v>
      </c>
    </row>
    <row r="10" spans="1:14" x14ac:dyDescent="0.3">
      <c r="A10" t="s">
        <v>6</v>
      </c>
      <c r="B10">
        <f>0.0017*B6+0.0013</f>
        <v>1.2999999999999999E-3</v>
      </c>
      <c r="C10">
        <f t="shared" ref="C10:N10" si="3">0.0017*C6+0.0013</f>
        <v>1.3254999999999999E-3</v>
      </c>
      <c r="D10">
        <f>D12</f>
        <v>0</v>
      </c>
      <c r="E10">
        <f t="shared" si="3"/>
        <v>1.5277999999999999E-3</v>
      </c>
      <c r="F10">
        <f t="shared" si="3"/>
        <v>1.6978E-3</v>
      </c>
      <c r="G10">
        <f t="shared" si="3"/>
        <v>1.9069E-3</v>
      </c>
      <c r="H10">
        <f t="shared" si="3"/>
        <v>2.15E-3</v>
      </c>
      <c r="I10">
        <f t="shared" si="3"/>
        <v>2.4185999999999999E-3</v>
      </c>
      <c r="J10">
        <f t="shared" si="3"/>
        <v>2.7041999999999995E-3</v>
      </c>
      <c r="K10">
        <f t="shared" si="3"/>
        <v>3.0000000000000001E-3</v>
      </c>
      <c r="L10">
        <f t="shared" si="3"/>
        <v>3.2957999999999998E-3</v>
      </c>
      <c r="M10">
        <f t="shared" si="3"/>
        <v>3.5813999999999998E-3</v>
      </c>
      <c r="N10">
        <f t="shared" si="3"/>
        <v>3.8499999999999997E-3</v>
      </c>
    </row>
    <row r="12" spans="1:14" x14ac:dyDescent="0.3">
      <c r="B12">
        <f>((B10-B7)^2)/B8^2</f>
        <v>8.4462890624998968E-2</v>
      </c>
      <c r="C12">
        <f t="shared" ref="C12:N12" si="4">((C10-C7)^2)/C8^2</f>
        <v>1.8715282430516234</v>
      </c>
      <c r="E12">
        <f t="shared" si="4"/>
        <v>1.1134338500390639</v>
      </c>
      <c r="F12">
        <f t="shared" si="4"/>
        <v>0.12551873985333759</v>
      </c>
      <c r="G12">
        <f t="shared" si="4"/>
        <v>7.9755690510249902E-2</v>
      </c>
      <c r="H12">
        <f t="shared" si="4"/>
        <v>3.1002623999999619E-3</v>
      </c>
      <c r="I12">
        <f t="shared" si="4"/>
        <v>3.1825407546433163E-2</v>
      </c>
      <c r="J12">
        <f t="shared" si="4"/>
        <v>3.527231062937889E-2</v>
      </c>
      <c r="K12">
        <f t="shared" si="4"/>
        <v>0.30294016000000062</v>
      </c>
      <c r="L12">
        <f t="shared" si="4"/>
        <v>0.19476136529141713</v>
      </c>
      <c r="M12">
        <f t="shared" si="4"/>
        <v>1.2130372435721197E-2</v>
      </c>
      <c r="N12">
        <f t="shared" si="4"/>
        <v>4.6863590399999377E-2</v>
      </c>
    </row>
    <row r="14" spans="1:14" x14ac:dyDescent="0.3">
      <c r="B14">
        <f>SUM(B12:N12)</f>
        <v>3.9015928827822246</v>
      </c>
    </row>
    <row r="17" spans="1:14" x14ac:dyDescent="0.3">
      <c r="A17" t="s">
        <v>7</v>
      </c>
      <c r="B17">
        <f>(SUM(B7:N7)/12)^2</f>
        <v>5.6443645656470813E-6</v>
      </c>
    </row>
    <row r="18" spans="1:14" x14ac:dyDescent="0.3">
      <c r="A18" t="s">
        <v>8</v>
      </c>
      <c r="B18">
        <f>B7*B7</f>
        <v>1.6649323621227887E-6</v>
      </c>
      <c r="C18">
        <f t="shared" ref="C18:N18" si="5">C7*C7</f>
        <v>1.8972595982363076E-6</v>
      </c>
      <c r="D18">
        <f t="shared" si="5"/>
        <v>0</v>
      </c>
      <c r="E18">
        <f t="shared" si="5"/>
        <v>2.1947873799725651E-6</v>
      </c>
      <c r="F18">
        <f t="shared" si="5"/>
        <v>2.8151885050222963E-6</v>
      </c>
      <c r="G18">
        <f t="shared" si="5"/>
        <v>3.5599857600569598E-6</v>
      </c>
      <c r="H18">
        <f t="shared" si="5"/>
        <v>4.6447681331747915E-6</v>
      </c>
      <c r="I18">
        <f t="shared" si="5"/>
        <v>5.7507950474153041E-6</v>
      </c>
      <c r="J18">
        <f t="shared" si="5"/>
        <v>7.4651378064439071E-6</v>
      </c>
      <c r="K18">
        <f t="shared" si="5"/>
        <v>8.4505137912385062E-6</v>
      </c>
      <c r="L18">
        <f t="shared" si="5"/>
        <v>1.0272846811308349E-5</v>
      </c>
      <c r="M18">
        <f t="shared" si="5"/>
        <v>1.3032881961188079E-5</v>
      </c>
      <c r="N18">
        <f t="shared" si="5"/>
        <v>1.4348025711662077E-5</v>
      </c>
    </row>
    <row r="19" spans="1:14" x14ac:dyDescent="0.3">
      <c r="A19" t="s">
        <v>9</v>
      </c>
      <c r="B19">
        <f>SUM(B18:N18)/12</f>
        <v>6.341426905653494E-6</v>
      </c>
    </row>
    <row r="21" spans="1:14" x14ac:dyDescent="0.3">
      <c r="A21" t="s">
        <v>10</v>
      </c>
      <c r="B21">
        <f>(SUM(B6:N6)/12)^2</f>
        <v>0.41602500000000003</v>
      </c>
    </row>
    <row r="22" spans="1:14" x14ac:dyDescent="0.3">
      <c r="A22" t="s">
        <v>11</v>
      </c>
      <c r="B22">
        <f>B6*B6</f>
        <v>0</v>
      </c>
      <c r="C22">
        <f t="shared" ref="C22:N22" si="6">C6*C6</f>
        <v>2.2499999999999999E-4</v>
      </c>
      <c r="D22">
        <f t="shared" si="6"/>
        <v>0</v>
      </c>
      <c r="E22">
        <f t="shared" si="6"/>
        <v>1.7956000000000003E-2</v>
      </c>
      <c r="F22">
        <f t="shared" si="6"/>
        <v>5.4756000000000006E-2</v>
      </c>
      <c r="G22">
        <f t="shared" si="6"/>
        <v>0.12744899999999998</v>
      </c>
      <c r="H22">
        <f t="shared" si="6"/>
        <v>0.25</v>
      </c>
      <c r="I22">
        <f t="shared" si="6"/>
        <v>0.43296400000000002</v>
      </c>
      <c r="J22">
        <f t="shared" si="6"/>
        <v>0.68227599999999988</v>
      </c>
      <c r="K22">
        <f t="shared" si="6"/>
        <v>1</v>
      </c>
      <c r="L22">
        <f t="shared" si="6"/>
        <v>1.3782759999999998</v>
      </c>
      <c r="M22">
        <f t="shared" si="6"/>
        <v>1.8009640000000002</v>
      </c>
      <c r="N22">
        <f t="shared" si="6"/>
        <v>2.25</v>
      </c>
    </row>
    <row r="23" spans="1:14" x14ac:dyDescent="0.3">
      <c r="A23" t="s">
        <v>12</v>
      </c>
      <c r="B23">
        <f>SUM(B22:N22)/12</f>
        <v>0.66623883333333334</v>
      </c>
    </row>
    <row r="25" spans="1:14" x14ac:dyDescent="0.3">
      <c r="A25" t="s">
        <v>13</v>
      </c>
      <c r="B25" t="e">
        <f>(1/SQRT(12))*SQRT((A19-A18)/(A23-A21))</f>
        <v>#VALUE!</v>
      </c>
      <c r="C25">
        <f>(1/SQRT(12))*SQRT(-(B19-B17)/(B23-B21)+0.0017*0.0017)</f>
        <v>9.3154658349838142E-5</v>
      </c>
    </row>
    <row r="26" spans="1:14" x14ac:dyDescent="0.3">
      <c r="A26" t="s">
        <v>14</v>
      </c>
      <c r="C26">
        <f>C25*SQRT(B23-B21)</f>
        <v>4.6597244488381913E-5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2018-10-11T19:29:25Z</dcterms:modified>
</cp:coreProperties>
</file>