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B7" i="1" l="1"/>
  <c r="C7" i="1"/>
  <c r="E7" i="1"/>
  <c r="F7" i="1"/>
  <c r="G7" i="1"/>
  <c r="H7" i="1"/>
  <c r="I7" i="1"/>
  <c r="J7" i="1"/>
  <c r="K7" i="1"/>
  <c r="L7" i="1"/>
  <c r="M7" i="1"/>
  <c r="N7" i="1"/>
  <c r="E6" i="1"/>
  <c r="F6" i="1"/>
  <c r="G6" i="1"/>
  <c r="H6" i="1"/>
  <c r="I6" i="1"/>
  <c r="J6" i="1"/>
  <c r="K6" i="1"/>
  <c r="L6" i="1"/>
  <c r="M6" i="1"/>
  <c r="N6" i="1"/>
  <c r="C6" i="1"/>
  <c r="B6" i="1"/>
</calcChain>
</file>

<file path=xl/sharedStrings.xml><?xml version="1.0" encoding="utf-8"?>
<sst xmlns="http://schemas.openxmlformats.org/spreadsheetml/2006/main" count="5" uniqueCount="5">
  <si>
    <r>
      <t>1-cos(</t>
    </r>
    <r>
      <rPr>
        <sz val="11"/>
        <color theme="1"/>
        <rFont val="Calibri"/>
        <family val="2"/>
        <charset val="204"/>
      </rPr>
      <t>θ)</t>
    </r>
  </si>
  <si>
    <t>1/N(θ)</t>
  </si>
  <si>
    <t>Nmax</t>
  </si>
  <si>
    <r>
      <t>Канал (N(</t>
    </r>
    <r>
      <rPr>
        <sz val="11"/>
        <color theme="1"/>
        <rFont val="Calibri"/>
        <family val="2"/>
        <charset val="204"/>
      </rPr>
      <t>θ</t>
    </r>
    <r>
      <rPr>
        <sz val="11"/>
        <color theme="1"/>
        <rFont val="Calibri"/>
        <family val="2"/>
        <scheme val="minor"/>
      </rPr>
      <t>))</t>
    </r>
  </si>
  <si>
    <t>угол θ в градусах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</si>
</sst>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trendline>
            <c:spPr>
              <a:ln cmpd="sng">
                <a:solidFill>
                  <a:schemeClr val="tx2">
                    <a:lumMod val="50000"/>
                  </a:schemeClr>
                </a:solidFill>
                <a:prstDash val="solid"/>
              </a:ln>
            </c:spPr>
            <c:trendlineType val="linear"/>
            <c:forward val="5.000000000000001E-2"/>
            <c:dispRSqr val="0"/>
            <c:dispEq val="1"/>
            <c:trendlineLbl>
              <c:layout>
                <c:manualLayout>
                  <c:x val="-0.31586310297219727"/>
                  <c:y val="6.3463907745212211E-2"/>
                </c:manualLayout>
              </c:layout>
              <c:numFmt formatCode="General" sourceLinked="0"/>
            </c:trendlineLbl>
          </c:trendline>
          <c:xVal>
            <c:numRef>
              <c:f>Лист1!$B$6:$N$6</c:f>
              <c:numCache>
                <c:formatCode>General</c:formatCode>
                <c:ptCount val="13"/>
                <c:pt idx="0">
                  <c:v>0</c:v>
                </c:pt>
                <c:pt idx="1">
                  <c:v>1.4999999999999999E-2</c:v>
                </c:pt>
                <c:pt idx="3">
                  <c:v>0.13400000000000001</c:v>
                </c:pt>
                <c:pt idx="4">
                  <c:v>0.23400000000000001</c:v>
                </c:pt>
                <c:pt idx="5">
                  <c:v>0.35699999999999998</c:v>
                </c:pt>
                <c:pt idx="6">
                  <c:v>0.5</c:v>
                </c:pt>
                <c:pt idx="7">
                  <c:v>0.65800000000000003</c:v>
                </c:pt>
                <c:pt idx="8">
                  <c:v>0.82599999999999996</c:v>
                </c:pt>
                <c:pt idx="9">
                  <c:v>1</c:v>
                </c:pt>
                <c:pt idx="10">
                  <c:v>1.1739999999999999</c:v>
                </c:pt>
                <c:pt idx="11">
                  <c:v>1.3420000000000001</c:v>
                </c:pt>
                <c:pt idx="12">
                  <c:v>1.5</c:v>
                </c:pt>
              </c:numCache>
            </c:numRef>
          </c:xVal>
          <c:yVal>
            <c:numRef>
              <c:f>Лист1!$B$7:$N$7</c:f>
              <c:numCache>
                <c:formatCode>General</c:formatCode>
                <c:ptCount val="13"/>
                <c:pt idx="0">
                  <c:v>1.2903225806451613E-3</c:v>
                </c:pt>
                <c:pt idx="1">
                  <c:v>1.3774104683195593E-3</c:v>
                </c:pt>
                <c:pt idx="3">
                  <c:v>1.4814814814814814E-3</c:v>
                </c:pt>
                <c:pt idx="4">
                  <c:v>1.6778523489932886E-3</c:v>
                </c:pt>
                <c:pt idx="5">
                  <c:v>1.8867924528301887E-3</c:v>
                </c:pt>
                <c:pt idx="6">
                  <c:v>2.1551724137931034E-3</c:v>
                </c:pt>
                <c:pt idx="7">
                  <c:v>2.3980815347721821E-3</c:v>
                </c:pt>
                <c:pt idx="8">
                  <c:v>2.7322404371584699E-3</c:v>
                </c:pt>
                <c:pt idx="9">
                  <c:v>2.9069767441860465E-3</c:v>
                </c:pt>
                <c:pt idx="10">
                  <c:v>3.205128205128205E-3</c:v>
                </c:pt>
                <c:pt idx="11">
                  <c:v>3.6101083032490976E-3</c:v>
                </c:pt>
                <c:pt idx="12">
                  <c:v>3.787878787878788E-3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42912"/>
        <c:axId val="100339712"/>
      </c:scatterChart>
      <c:valAx>
        <c:axId val="99542912"/>
        <c:scaling>
          <c:orientation val="minMax"/>
          <c:max val="1.6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1/N(</a:t>
                </a:r>
                <a:r>
                  <a:rPr lang="el-GR">
                    <a:latin typeface="Calibri"/>
                    <a:cs typeface="Calibri"/>
                  </a:rPr>
                  <a:t>θ</a:t>
                </a:r>
                <a:r>
                  <a:rPr lang="en-US"/>
                  <a:t>)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0339712"/>
        <c:crosses val="autoZero"/>
        <c:crossBetween val="midCat"/>
        <c:majorUnit val="0.1"/>
      </c:valAx>
      <c:valAx>
        <c:axId val="1003397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1-</a:t>
                </a:r>
                <a:r>
                  <a:rPr lang="en-US"/>
                  <a:t>cos(</a:t>
                </a:r>
                <a:r>
                  <a:rPr lang="el-GR">
                    <a:latin typeface="Calibri"/>
                    <a:cs typeface="Calibri"/>
                  </a:rPr>
                  <a:t>θ</a:t>
                </a:r>
                <a:r>
                  <a:rPr lang="en-US"/>
                  <a:t>)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7656111855543637E-2"/>
              <c:y val="0.312229070762620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9542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204465</xdr:colOff>
      <xdr:row>11</xdr:row>
      <xdr:rowOff>46892</xdr:rowOff>
    </xdr:from>
    <xdr:to>
      <xdr:col>14</xdr:col>
      <xdr:colOff>228601</xdr:colOff>
      <xdr:row>31</xdr:row>
      <xdr:rowOff>52066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zoomScaleNormal="100" workbookViewId="0">
      <selection activeCell="D6" sqref="D6:D7"/>
    </sheetView>
  </sheetViews>
  <sheetFormatPr defaultRowHeight="14.4" x14ac:dyDescent="0.3"/>
  <cols>
    <col min="1" max="1" width="16.77734375" customWidth="1"/>
  </cols>
  <sheetData>
    <row r="1" spans="1:14" x14ac:dyDescent="0.3">
      <c r="A1" s="1" t="s">
        <v>4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  <c r="K1">
        <v>90</v>
      </c>
      <c r="L1">
        <v>100</v>
      </c>
      <c r="M1">
        <v>110</v>
      </c>
      <c r="N1">
        <v>120</v>
      </c>
    </row>
    <row r="2" spans="1:14" x14ac:dyDescent="0.3">
      <c r="A2" t="s">
        <v>3</v>
      </c>
      <c r="B2">
        <v>775</v>
      </c>
      <c r="C2">
        <v>726</v>
      </c>
      <c r="D2">
        <v>512</v>
      </c>
      <c r="E2">
        <v>675</v>
      </c>
      <c r="F2">
        <v>596</v>
      </c>
      <c r="G2">
        <v>530</v>
      </c>
      <c r="H2">
        <v>464</v>
      </c>
      <c r="I2">
        <v>417</v>
      </c>
      <c r="J2">
        <v>366</v>
      </c>
      <c r="K2">
        <v>344</v>
      </c>
      <c r="L2">
        <v>312</v>
      </c>
      <c r="M2">
        <v>277</v>
      </c>
      <c r="N2">
        <v>264</v>
      </c>
    </row>
    <row r="3" spans="1:14" x14ac:dyDescent="0.3">
      <c r="A3" t="s">
        <v>2</v>
      </c>
      <c r="B3">
        <v>1616</v>
      </c>
      <c r="C3">
        <v>1172</v>
      </c>
      <c r="D3">
        <v>87</v>
      </c>
      <c r="E3">
        <v>197</v>
      </c>
      <c r="F3">
        <v>134</v>
      </c>
      <c r="G3">
        <v>112</v>
      </c>
      <c r="H3">
        <v>134</v>
      </c>
      <c r="I3">
        <v>96</v>
      </c>
      <c r="J3">
        <v>93</v>
      </c>
      <c r="K3">
        <v>135</v>
      </c>
      <c r="L3">
        <v>137</v>
      </c>
      <c r="M3">
        <v>149</v>
      </c>
      <c r="N3">
        <v>174</v>
      </c>
    </row>
    <row r="6" spans="1:14" x14ac:dyDescent="0.3">
      <c r="A6" t="s">
        <v>0</v>
      </c>
      <c r="B6">
        <f>1 - COS(PI()*(B1/180))</f>
        <v>0</v>
      </c>
      <c r="C6">
        <f>ROUND(1 - COS(PI()*(C1/180)),3)</f>
        <v>1.4999999999999999E-2</v>
      </c>
      <c r="E6">
        <f t="shared" ref="D6:N6" si="0">ROUND(1 - COS(PI()*(E1/180)),3)</f>
        <v>0.13400000000000001</v>
      </c>
      <c r="F6">
        <f t="shared" si="0"/>
        <v>0.23400000000000001</v>
      </c>
      <c r="G6">
        <f t="shared" si="0"/>
        <v>0.35699999999999998</v>
      </c>
      <c r="H6">
        <f t="shared" si="0"/>
        <v>0.5</v>
      </c>
      <c r="I6">
        <f t="shared" si="0"/>
        <v>0.65800000000000003</v>
      </c>
      <c r="J6">
        <f t="shared" si="0"/>
        <v>0.82599999999999996</v>
      </c>
      <c r="K6">
        <f t="shared" si="0"/>
        <v>1</v>
      </c>
      <c r="L6">
        <f t="shared" si="0"/>
        <v>1.1739999999999999</v>
      </c>
      <c r="M6">
        <f t="shared" si="0"/>
        <v>1.3420000000000001</v>
      </c>
      <c r="N6">
        <f t="shared" si="0"/>
        <v>1.5</v>
      </c>
    </row>
    <row r="7" spans="1:14" x14ac:dyDescent="0.3">
      <c r="A7" t="s">
        <v>1</v>
      </c>
      <c r="B7">
        <f>1/B2</f>
        <v>1.2903225806451613E-3</v>
      </c>
      <c r="C7">
        <f t="shared" ref="C7:N7" si="1">1/C2</f>
        <v>1.3774104683195593E-3</v>
      </c>
      <c r="E7">
        <f t="shared" si="1"/>
        <v>1.4814814814814814E-3</v>
      </c>
      <c r="F7">
        <f t="shared" si="1"/>
        <v>1.6778523489932886E-3</v>
      </c>
      <c r="G7">
        <f t="shared" si="1"/>
        <v>1.8867924528301887E-3</v>
      </c>
      <c r="H7">
        <f t="shared" si="1"/>
        <v>2.1551724137931034E-3</v>
      </c>
      <c r="I7">
        <f t="shared" si="1"/>
        <v>2.3980815347721821E-3</v>
      </c>
      <c r="J7">
        <f t="shared" si="1"/>
        <v>2.7322404371584699E-3</v>
      </c>
      <c r="K7">
        <f t="shared" si="1"/>
        <v>2.9069767441860465E-3</v>
      </c>
      <c r="L7">
        <f t="shared" si="1"/>
        <v>3.205128205128205E-3</v>
      </c>
      <c r="M7">
        <f t="shared" si="1"/>
        <v>3.6101083032490976E-3</v>
      </c>
      <c r="N7">
        <f t="shared" si="1"/>
        <v>3.787878787878788E-3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2018-10-11T11:03:55Z</dcterms:modified>
</cp:coreProperties>
</file>