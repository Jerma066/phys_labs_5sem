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4" i="1"/>
  <c r="O20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5" i="1"/>
  <c r="E4" i="1"/>
  <c r="E3" i="1"/>
  <c r="Z17" i="1"/>
  <c r="X15" i="1"/>
  <c r="X14" i="1"/>
  <c r="X13" i="1"/>
  <c r="Y10" i="1"/>
  <c r="X10" i="1"/>
  <c r="X4" i="1"/>
  <c r="X5" i="1"/>
  <c r="X3" i="1"/>
  <c r="E23" i="1"/>
</calcChain>
</file>

<file path=xl/sharedStrings.xml><?xml version="1.0" encoding="utf-8"?>
<sst xmlns="http://schemas.openxmlformats.org/spreadsheetml/2006/main" count="39" uniqueCount="27">
  <si>
    <t>часть II</t>
  </si>
  <si>
    <t>№</t>
  </si>
  <si>
    <t>I анода, мкА</t>
  </si>
  <si>
    <t>V катода, В</t>
  </si>
  <si>
    <t>Vнак, В</t>
  </si>
  <si>
    <t>часть III</t>
  </si>
  <si>
    <t>№ фото</t>
  </si>
  <si>
    <t>Канал Y, мВ/дел</t>
  </si>
  <si>
    <t>фото 1</t>
  </si>
  <si>
    <t>фото 2</t>
  </si>
  <si>
    <t>фото 3</t>
  </si>
  <si>
    <t>~2,5</t>
  </si>
  <si>
    <t>~3</t>
  </si>
  <si>
    <t>~3,5</t>
  </si>
  <si>
    <t>Vнакала, В</t>
  </si>
  <si>
    <t>V_{нач. отсчета}, В</t>
  </si>
  <si>
    <t>V_{min}, В</t>
  </si>
  <si>
    <t>V_{max}, В</t>
  </si>
  <si>
    <t>дельтаV, В</t>
  </si>
  <si>
    <t>Vср</t>
  </si>
  <si>
    <t>l_3, Ангстрем</t>
  </si>
  <si>
    <t>l_1, Анстрем</t>
  </si>
  <si>
    <t>l_2, Ангстрем</t>
  </si>
  <si>
    <t>2,93 +- 0,41</t>
  </si>
  <si>
    <t>2,39+-0,11</t>
  </si>
  <si>
    <t>2,5 +- 0,25</t>
  </si>
  <si>
    <t>V_{накала}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</si>
</sst>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2,5</c:v>
          </c:tx>
          <c:marker>
            <c:symbol val="diamond"/>
            <c:size val="5"/>
          </c:marker>
          <c:xVal>
            <c:numRef>
              <c:f>Лист1!$C$3:$C$19</c:f>
              <c:numCache>
                <c:formatCode>General</c:formatCode>
                <c:ptCount val="17"/>
                <c:pt idx="0">
                  <c:v>0.99</c:v>
                </c:pt>
                <c:pt idx="1">
                  <c:v>2.0499999999999998</c:v>
                </c:pt>
                <c:pt idx="2">
                  <c:v>3.02</c:v>
                </c:pt>
                <c:pt idx="3">
                  <c:v>3.5</c:v>
                </c:pt>
                <c:pt idx="4">
                  <c:v>4.04</c:v>
                </c:pt>
                <c:pt idx="5">
                  <c:v>4.2</c:v>
                </c:pt>
                <c:pt idx="6">
                  <c:v>4.5</c:v>
                </c:pt>
                <c:pt idx="7">
                  <c:v>4.7</c:v>
                </c:pt>
                <c:pt idx="8">
                  <c:v>5.05</c:v>
                </c:pt>
                <c:pt idx="9">
                  <c:v>6.02</c:v>
                </c:pt>
                <c:pt idx="10">
                  <c:v>6.5</c:v>
                </c:pt>
                <c:pt idx="11">
                  <c:v>7.03</c:v>
                </c:pt>
                <c:pt idx="12">
                  <c:v>8.07</c:v>
                </c:pt>
                <c:pt idx="13">
                  <c:v>9.1</c:v>
                </c:pt>
                <c:pt idx="14">
                  <c:v>10.1</c:v>
                </c:pt>
                <c:pt idx="15">
                  <c:v>11.1</c:v>
                </c:pt>
                <c:pt idx="16">
                  <c:v>12.3</c:v>
                </c:pt>
              </c:numCache>
            </c:numRef>
          </c:xVal>
          <c:yVal>
            <c:numRef>
              <c:f>Лист1!$B$3:$B$19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0.75</c:v>
                </c:pt>
                <c:pt idx="3">
                  <c:v>13.6</c:v>
                </c:pt>
                <c:pt idx="4">
                  <c:v>16.600000000000001</c:v>
                </c:pt>
                <c:pt idx="5">
                  <c:v>17.2</c:v>
                </c:pt>
                <c:pt idx="6">
                  <c:v>17.600000000000001</c:v>
                </c:pt>
                <c:pt idx="7">
                  <c:v>17.78</c:v>
                </c:pt>
                <c:pt idx="8">
                  <c:v>17.45</c:v>
                </c:pt>
                <c:pt idx="9">
                  <c:v>15.76</c:v>
                </c:pt>
                <c:pt idx="10">
                  <c:v>14.86</c:v>
                </c:pt>
                <c:pt idx="11">
                  <c:v>13.51</c:v>
                </c:pt>
                <c:pt idx="12">
                  <c:v>10.8</c:v>
                </c:pt>
                <c:pt idx="13">
                  <c:v>8.8000000000000007</c:v>
                </c:pt>
                <c:pt idx="14">
                  <c:v>8.1999999999999993</c:v>
                </c:pt>
                <c:pt idx="15">
                  <c:v>8.5</c:v>
                </c:pt>
                <c:pt idx="16">
                  <c:v>9.3000000000000007</c:v>
                </c:pt>
              </c:numCache>
            </c:numRef>
          </c:yVal>
          <c:smooth val="1"/>
        </c:ser>
        <c:ser>
          <c:idx val="1"/>
          <c:order val="1"/>
          <c:tx>
            <c:v>3</c:v>
          </c:tx>
          <c:marker>
            <c:symbol val="square"/>
            <c:size val="5"/>
          </c:marker>
          <c:trendline>
            <c:trendlineType val="log"/>
            <c:dispRSqr val="0"/>
            <c:dispEq val="0"/>
          </c:trendline>
          <c:trendline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Лист1!$H$3:$H$16</c:f>
              <c:numCache>
                <c:formatCode>General</c:formatCode>
                <c:ptCount val="14"/>
                <c:pt idx="0">
                  <c:v>0</c:v>
                </c:pt>
                <c:pt idx="1">
                  <c:v>1.0449999999999999</c:v>
                </c:pt>
                <c:pt idx="2">
                  <c:v>2.0310000000000001</c:v>
                </c:pt>
                <c:pt idx="3">
                  <c:v>3.0329999999999999</c:v>
                </c:pt>
                <c:pt idx="4">
                  <c:v>4.0369999999999999</c:v>
                </c:pt>
                <c:pt idx="5">
                  <c:v>4.5359999999999996</c:v>
                </c:pt>
                <c:pt idx="6">
                  <c:v>4.9989999999999997</c:v>
                </c:pt>
                <c:pt idx="7">
                  <c:v>5.9660000000000002</c:v>
                </c:pt>
                <c:pt idx="8">
                  <c:v>6.64</c:v>
                </c:pt>
                <c:pt idx="9">
                  <c:v>7.55</c:v>
                </c:pt>
                <c:pt idx="10">
                  <c:v>8.59</c:v>
                </c:pt>
                <c:pt idx="11">
                  <c:v>9.5299999999999994</c:v>
                </c:pt>
                <c:pt idx="12">
                  <c:v>10.07</c:v>
                </c:pt>
                <c:pt idx="13">
                  <c:v>11.034000000000001</c:v>
                </c:pt>
              </c:numCache>
            </c:numRef>
          </c:xVal>
          <c:yVal>
            <c:numRef>
              <c:f>Лист1!$G$3:$G$16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22.5</c:v>
                </c:pt>
                <c:pt idx="4">
                  <c:v>53.9</c:v>
                </c:pt>
                <c:pt idx="5">
                  <c:v>63.67</c:v>
                </c:pt>
                <c:pt idx="6">
                  <c:v>69.3</c:v>
                </c:pt>
                <c:pt idx="7">
                  <c:v>73.78</c:v>
                </c:pt>
                <c:pt idx="8">
                  <c:v>72.790000000000006</c:v>
                </c:pt>
                <c:pt idx="9">
                  <c:v>67.08</c:v>
                </c:pt>
                <c:pt idx="10">
                  <c:v>59.6</c:v>
                </c:pt>
                <c:pt idx="11">
                  <c:v>55.5</c:v>
                </c:pt>
                <c:pt idx="12">
                  <c:v>55.45</c:v>
                </c:pt>
                <c:pt idx="13">
                  <c:v>59.3</c:v>
                </c:pt>
              </c:numCache>
            </c:numRef>
          </c:yVal>
          <c:smooth val="1"/>
        </c:ser>
        <c:ser>
          <c:idx val="2"/>
          <c:order val="2"/>
          <c:tx>
            <c:v>3,43</c:v>
          </c:tx>
          <c:marker>
            <c:symbol val="triangle"/>
            <c:size val="5"/>
          </c:marker>
          <c:xVal>
            <c:numRef>
              <c:f>Лист1!$M$3:$M$17</c:f>
              <c:numCache>
                <c:formatCode>General</c:formatCode>
                <c:ptCount val="15"/>
                <c:pt idx="0">
                  <c:v>0</c:v>
                </c:pt>
                <c:pt idx="1">
                  <c:v>2.0299999999999998</c:v>
                </c:pt>
                <c:pt idx="2">
                  <c:v>3.12</c:v>
                </c:pt>
                <c:pt idx="3" formatCode="0.00">
                  <c:v>4.04</c:v>
                </c:pt>
                <c:pt idx="4">
                  <c:v>4.5599999999999996</c:v>
                </c:pt>
                <c:pt idx="5">
                  <c:v>5.03</c:v>
                </c:pt>
                <c:pt idx="6">
                  <c:v>5.51</c:v>
                </c:pt>
                <c:pt idx="7">
                  <c:v>6.06</c:v>
                </c:pt>
                <c:pt idx="8">
                  <c:v>6.29</c:v>
                </c:pt>
                <c:pt idx="9">
                  <c:v>6.54</c:v>
                </c:pt>
                <c:pt idx="10">
                  <c:v>7.07</c:v>
                </c:pt>
                <c:pt idx="11">
                  <c:v>8.0299999999999994</c:v>
                </c:pt>
                <c:pt idx="12">
                  <c:v>9.06</c:v>
                </c:pt>
                <c:pt idx="13">
                  <c:v>9.6300000000000008</c:v>
                </c:pt>
                <c:pt idx="14">
                  <c:v>10.66</c:v>
                </c:pt>
              </c:numCache>
            </c:numRef>
          </c:xVal>
          <c:yVal>
            <c:numRef>
              <c:f>Лист1!$L$3:$L$17</c:f>
              <c:numCache>
                <c:formatCode>General</c:formatCode>
                <c:ptCount val="15"/>
                <c:pt idx="0">
                  <c:v>0</c:v>
                </c:pt>
                <c:pt idx="1">
                  <c:v>0.01</c:v>
                </c:pt>
                <c:pt idx="2">
                  <c:v>33</c:v>
                </c:pt>
                <c:pt idx="3">
                  <c:v>61.3</c:v>
                </c:pt>
                <c:pt idx="4">
                  <c:v>71.099999999999994</c:v>
                </c:pt>
                <c:pt idx="5">
                  <c:v>76.599999999999994</c:v>
                </c:pt>
                <c:pt idx="6">
                  <c:v>79.7</c:v>
                </c:pt>
                <c:pt idx="7">
                  <c:v>81.3</c:v>
                </c:pt>
                <c:pt idx="8">
                  <c:v>81.239999999999995</c:v>
                </c:pt>
                <c:pt idx="9">
                  <c:v>80.73</c:v>
                </c:pt>
                <c:pt idx="10">
                  <c:v>78.02</c:v>
                </c:pt>
                <c:pt idx="11">
                  <c:v>71.25</c:v>
                </c:pt>
                <c:pt idx="12">
                  <c:v>65.599999999999994</c:v>
                </c:pt>
                <c:pt idx="13">
                  <c:v>64.7</c:v>
                </c:pt>
                <c:pt idx="14">
                  <c:v>69.02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89760"/>
        <c:axId val="57583872"/>
      </c:scatterChart>
      <c:valAx>
        <c:axId val="575897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</a:t>
                </a:r>
                <a:r>
                  <a:rPr lang="ru-RU"/>
                  <a:t>катода, В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7583872"/>
        <c:crosses val="autoZero"/>
        <c:crossBetween val="midCat"/>
        <c:majorUnit val="1"/>
        <c:minorUnit val="0.2"/>
      </c:valAx>
      <c:valAx>
        <c:axId val="57583872"/>
        <c:scaling>
          <c:orientation val="minMax"/>
          <c:min val="-5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 </a:t>
                </a:r>
                <a:r>
                  <a:rPr lang="ru-RU"/>
                  <a:t>анода, мкА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758976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/>
      <c:overlay val="0"/>
    </c:legend>
    <c:plotVisOnly val="1"/>
    <c:dispBlanksAs val="gap"/>
    <c:showDLblsOverMax val="0"/>
  </c:chart>
  <c:txPr>
    <a:bodyPr/>
    <a:lstStyle/>
    <a:p>
      <a:pPr>
        <a:defRPr b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2,5 В</c:v>
          </c:tx>
          <c:spPr>
            <a:ln w="22225"/>
          </c:spPr>
          <c:marker>
            <c:symbol val="diamond"/>
            <c:size val="5"/>
          </c:marker>
          <c:xVal>
            <c:numRef>
              <c:f>Лист1!$C$5:$C$19</c:f>
              <c:numCache>
                <c:formatCode>General</c:formatCode>
                <c:ptCount val="15"/>
                <c:pt idx="0">
                  <c:v>3.02</c:v>
                </c:pt>
                <c:pt idx="1">
                  <c:v>3.5</c:v>
                </c:pt>
                <c:pt idx="2">
                  <c:v>4.04</c:v>
                </c:pt>
                <c:pt idx="3">
                  <c:v>4.2</c:v>
                </c:pt>
                <c:pt idx="4">
                  <c:v>4.5</c:v>
                </c:pt>
                <c:pt idx="5">
                  <c:v>4.7</c:v>
                </c:pt>
                <c:pt idx="6">
                  <c:v>5.05</c:v>
                </c:pt>
                <c:pt idx="7">
                  <c:v>6.02</c:v>
                </c:pt>
                <c:pt idx="8">
                  <c:v>6.5</c:v>
                </c:pt>
                <c:pt idx="9">
                  <c:v>7.03</c:v>
                </c:pt>
                <c:pt idx="10">
                  <c:v>8.07</c:v>
                </c:pt>
                <c:pt idx="11">
                  <c:v>9.1</c:v>
                </c:pt>
                <c:pt idx="12">
                  <c:v>10.1</c:v>
                </c:pt>
                <c:pt idx="13">
                  <c:v>11.1</c:v>
                </c:pt>
                <c:pt idx="14">
                  <c:v>12.3</c:v>
                </c:pt>
              </c:numCache>
            </c:numRef>
          </c:xVal>
          <c:yVal>
            <c:numRef>
              <c:f>Лист1!$E$5:$E$19</c:f>
              <c:numCache>
                <c:formatCode>General</c:formatCode>
                <c:ptCount val="15"/>
                <c:pt idx="0">
                  <c:v>3.1876820724517807</c:v>
                </c:pt>
                <c:pt idx="1">
                  <c:v>0.28993020725799346</c:v>
                </c:pt>
                <c:pt idx="2">
                  <c:v>9.0597304637502152E-2</c:v>
                </c:pt>
                <c:pt idx="3">
                  <c:v>5.5090616180592633E-2</c:v>
                </c:pt>
                <c:pt idx="4">
                  <c:v>3.2101097955893554E-2</c:v>
                </c:pt>
                <c:pt idx="5">
                  <c:v>2.1925769914241222E-2</c:v>
                </c:pt>
                <c:pt idx="6">
                  <c:v>4.0660351351563762E-2</c:v>
                </c:pt>
                <c:pt idx="7">
                  <c:v>0.14252491557026703</c:v>
                </c:pt>
                <c:pt idx="8">
                  <c:v>0.20132696071038669</c:v>
                </c:pt>
                <c:pt idx="9">
                  <c:v>0.29656984802789266</c:v>
                </c:pt>
                <c:pt idx="10">
                  <c:v>0.52045386586982589</c:v>
                </c:pt>
                <c:pt idx="11">
                  <c:v>0.72524827851583895</c:v>
                </c:pt>
                <c:pt idx="12">
                  <c:v>0.79586584572979246</c:v>
                </c:pt>
                <c:pt idx="13">
                  <c:v>0.75993383650372914</c:v>
                </c:pt>
                <c:pt idx="14">
                  <c:v>0.66998559984078954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2560"/>
        <c:axId val="56641024"/>
      </c:scatterChart>
      <c:valAx>
        <c:axId val="56642560"/>
        <c:scaling>
          <c:orientation val="minMax"/>
          <c:min val="2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V,</a:t>
                </a:r>
                <a:r>
                  <a:rPr lang="en-US" baseline="0"/>
                  <a:t> </a:t>
                </a:r>
                <a:r>
                  <a:rPr lang="ru-RU" baseline="0"/>
                  <a:t>эВ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6641024"/>
        <c:crosses val="autoZero"/>
        <c:crossBetween val="midCat"/>
      </c:valAx>
      <c:valAx>
        <c:axId val="566410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W(V)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66425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205740</xdr:colOff>
      <xdr:row>24</xdr:row>
      <xdr:rowOff>0</xdr:rowOff>
    </xdr:from>
    <xdr:to>
      <xdr:col>22</xdr:col>
      <xdr:colOff>289560</xdr:colOff>
      <xdr:row>53</xdr:row>
      <xdr:rowOff>129540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952500</xdr:colOff>
      <xdr:row>22</xdr:row>
      <xdr:rowOff>156210</xdr:rowOff>
    </xdr:from>
    <xdr:to>
      <xdr:col>10</xdr:col>
      <xdr:colOff>365760</xdr:colOff>
      <xdr:row>47</xdr:row>
      <xdr:rowOff>137160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tabSelected="1" topLeftCell="A20" workbookViewId="0">
      <selection activeCell="O4" sqref="O4:O17"/>
    </sheetView>
  </sheetViews>
  <sheetFormatPr defaultRowHeight="14.4" x14ac:dyDescent="0.3"/>
  <cols>
    <col min="2" max="2" width="14.21875" customWidth="1"/>
    <col min="3" max="3" width="11.77734375" customWidth="1"/>
    <col min="7" max="7" width="13.109375" customWidth="1"/>
    <col min="8" max="8" width="11.6640625" customWidth="1"/>
    <col min="16" max="16" width="12" customWidth="1"/>
    <col min="17" max="17" width="11.109375" customWidth="1"/>
    <col min="18" max="18" width="17.6640625" customWidth="1"/>
    <col min="19" max="19" width="9" customWidth="1"/>
    <col min="21" max="21" width="18.5546875" customWidth="1"/>
    <col min="22" max="22" width="12.88671875" customWidth="1"/>
    <col min="23" max="23" width="10.88671875" customWidth="1"/>
    <col min="24" max="24" width="10.109375" customWidth="1"/>
    <col min="25" max="25" width="8.33203125" customWidth="1"/>
    <col min="26" max="26" width="12.88671875" customWidth="1"/>
    <col min="27" max="27" width="13.77734375" customWidth="1"/>
    <col min="28" max="28" width="14.109375" customWidth="1"/>
  </cols>
  <sheetData>
    <row r="1" spans="1:28" x14ac:dyDescent="0.3">
      <c r="A1" t="s">
        <v>5</v>
      </c>
      <c r="P1" t="s">
        <v>0</v>
      </c>
    </row>
    <row r="2" spans="1:28" x14ac:dyDescent="0.3">
      <c r="A2" t="s">
        <v>1</v>
      </c>
      <c r="B2" t="s">
        <v>2</v>
      </c>
      <c r="C2" t="s">
        <v>3</v>
      </c>
      <c r="D2" t="s">
        <v>4</v>
      </c>
      <c r="F2" t="s">
        <v>1</v>
      </c>
      <c r="G2" t="s">
        <v>2</v>
      </c>
      <c r="H2" t="s">
        <v>3</v>
      </c>
      <c r="I2" t="s">
        <v>4</v>
      </c>
      <c r="K2" t="s">
        <v>1</v>
      </c>
      <c r="L2" t="s">
        <v>2</v>
      </c>
      <c r="M2" t="s">
        <v>3</v>
      </c>
      <c r="N2" t="s">
        <v>4</v>
      </c>
      <c r="P2" t="s">
        <v>6</v>
      </c>
      <c r="Q2" t="s">
        <v>14</v>
      </c>
      <c r="R2" t="s">
        <v>7</v>
      </c>
      <c r="T2" t="s">
        <v>6</v>
      </c>
      <c r="U2" t="s">
        <v>15</v>
      </c>
      <c r="V2" t="s">
        <v>17</v>
      </c>
      <c r="W2" t="s">
        <v>16</v>
      </c>
      <c r="X2" t="s">
        <v>18</v>
      </c>
      <c r="Z2" t="s">
        <v>21</v>
      </c>
      <c r="AA2" t="s">
        <v>22</v>
      </c>
      <c r="AB2" t="s">
        <v>20</v>
      </c>
    </row>
    <row r="3" spans="1:28" x14ac:dyDescent="0.3">
      <c r="A3">
        <v>1</v>
      </c>
      <c r="B3">
        <v>0</v>
      </c>
      <c r="C3">
        <v>0.99</v>
      </c>
      <c r="D3">
        <v>2.5</v>
      </c>
      <c r="E3" t="e">
        <f xml:space="preserve"> -LN(B3)</f>
        <v>#NUM!</v>
      </c>
      <c r="F3">
        <v>1</v>
      </c>
      <c r="G3">
        <v>0</v>
      </c>
      <c r="H3">
        <v>0</v>
      </c>
      <c r="I3">
        <v>3</v>
      </c>
      <c r="K3">
        <v>1</v>
      </c>
      <c r="L3">
        <v>0</v>
      </c>
      <c r="M3">
        <v>0</v>
      </c>
      <c r="N3">
        <v>3.43</v>
      </c>
      <c r="P3" t="s">
        <v>8</v>
      </c>
      <c r="Q3" t="s">
        <v>11</v>
      </c>
      <c r="R3">
        <v>20</v>
      </c>
      <c r="T3">
        <v>1</v>
      </c>
      <c r="U3">
        <v>18.5</v>
      </c>
      <c r="V3">
        <v>5</v>
      </c>
      <c r="W3">
        <v>11.5</v>
      </c>
      <c r="X3">
        <f>W3-V3</f>
        <v>6.5</v>
      </c>
      <c r="Z3" t="s">
        <v>25</v>
      </c>
      <c r="AA3" t="s">
        <v>24</v>
      </c>
      <c r="AB3" t="s">
        <v>23</v>
      </c>
    </row>
    <row r="4" spans="1:28" x14ac:dyDescent="0.3">
      <c r="A4">
        <v>2</v>
      </c>
      <c r="B4">
        <v>0</v>
      </c>
      <c r="C4">
        <v>2.0499999999999998</v>
      </c>
      <c r="E4" t="e">
        <f t="shared" ref="E4:E19" si="0" xml:space="preserve"> -LN(B4)</f>
        <v>#NUM!</v>
      </c>
      <c r="F4">
        <v>2</v>
      </c>
      <c r="G4">
        <v>0</v>
      </c>
      <c r="H4">
        <v>1.0449999999999999</v>
      </c>
      <c r="K4">
        <v>2</v>
      </c>
      <c r="L4">
        <v>0.01</v>
      </c>
      <c r="M4">
        <v>2.0299999999999998</v>
      </c>
      <c r="O4">
        <f>-LN(L4) + $O$21</f>
        <v>9.0051701859880922</v>
      </c>
      <c r="P4" t="s">
        <v>9</v>
      </c>
      <c r="Q4" t="s">
        <v>12</v>
      </c>
      <c r="R4">
        <v>50</v>
      </c>
      <c r="T4">
        <v>2</v>
      </c>
      <c r="U4">
        <v>18.5</v>
      </c>
      <c r="V4">
        <v>6</v>
      </c>
      <c r="W4">
        <v>11</v>
      </c>
      <c r="X4">
        <f t="shared" ref="X4:X5" si="1">W4-V4</f>
        <v>5</v>
      </c>
    </row>
    <row r="5" spans="1:28" x14ac:dyDescent="0.3">
      <c r="A5">
        <v>3</v>
      </c>
      <c r="B5">
        <v>0.75</v>
      </c>
      <c r="C5">
        <v>3.02</v>
      </c>
      <c r="E5">
        <f xml:space="preserve"> -LN(B5) + $E$24</f>
        <v>3.1876820724517807</v>
      </c>
      <c r="F5">
        <v>3</v>
      </c>
      <c r="G5">
        <v>0</v>
      </c>
      <c r="H5">
        <v>2.0310000000000001</v>
      </c>
      <c r="K5">
        <v>3</v>
      </c>
      <c r="L5">
        <v>33</v>
      </c>
      <c r="M5">
        <v>3.12</v>
      </c>
      <c r="O5">
        <f t="shared" ref="O5:O17" si="2">-LN(L5) + $O$21</f>
        <v>0.90349243853352013</v>
      </c>
      <c r="P5" t="s">
        <v>10</v>
      </c>
      <c r="Q5" t="s">
        <v>13</v>
      </c>
      <c r="R5">
        <v>100</v>
      </c>
      <c r="T5">
        <v>3</v>
      </c>
      <c r="U5">
        <v>18.5</v>
      </c>
      <c r="V5">
        <v>5.5</v>
      </c>
      <c r="W5">
        <v>10.5</v>
      </c>
      <c r="X5">
        <f t="shared" si="1"/>
        <v>5</v>
      </c>
    </row>
    <row r="6" spans="1:28" x14ac:dyDescent="0.3">
      <c r="A6">
        <v>4</v>
      </c>
      <c r="B6">
        <v>13.6</v>
      </c>
      <c r="C6">
        <v>3.5</v>
      </c>
      <c r="E6">
        <f t="shared" ref="E6:E19" si="3" xml:space="preserve"> -LN(B6) + $E$24</f>
        <v>0.28993020725799346</v>
      </c>
      <c r="F6">
        <v>4</v>
      </c>
      <c r="G6">
        <v>22.5</v>
      </c>
      <c r="H6">
        <v>3.0329999999999999</v>
      </c>
      <c r="K6">
        <v>4</v>
      </c>
      <c r="L6">
        <v>61.3</v>
      </c>
      <c r="M6" s="1">
        <v>4.04</v>
      </c>
      <c r="O6">
        <f t="shared" si="2"/>
        <v>0.28422015705783465</v>
      </c>
    </row>
    <row r="7" spans="1:28" x14ac:dyDescent="0.3">
      <c r="A7">
        <v>5</v>
      </c>
      <c r="B7">
        <v>16.600000000000001</v>
      </c>
      <c r="C7">
        <v>4.04</v>
      </c>
      <c r="E7">
        <f t="shared" si="3"/>
        <v>9.0597304637502152E-2</v>
      </c>
      <c r="F7">
        <v>5</v>
      </c>
      <c r="G7">
        <v>53.9</v>
      </c>
      <c r="H7">
        <v>4.0369999999999999</v>
      </c>
      <c r="K7">
        <v>5</v>
      </c>
      <c r="L7">
        <v>71.099999999999994</v>
      </c>
      <c r="M7">
        <v>4.5599999999999996</v>
      </c>
      <c r="O7">
        <f t="shared" si="2"/>
        <v>0.13591266319080564</v>
      </c>
    </row>
    <row r="8" spans="1:28" x14ac:dyDescent="0.3">
      <c r="A8">
        <v>6</v>
      </c>
      <c r="B8">
        <v>17.2</v>
      </c>
      <c r="C8">
        <v>4.2</v>
      </c>
      <c r="E8">
        <f t="shared" si="3"/>
        <v>5.5090616180592633E-2</v>
      </c>
      <c r="F8">
        <v>6</v>
      </c>
      <c r="G8">
        <v>63.67</v>
      </c>
      <c r="H8">
        <v>4.5359999999999996</v>
      </c>
      <c r="K8">
        <v>6</v>
      </c>
      <c r="L8">
        <v>76.599999999999994</v>
      </c>
      <c r="M8">
        <v>5.03</v>
      </c>
      <c r="O8">
        <f t="shared" si="2"/>
        <v>6.1402923253455199E-2</v>
      </c>
    </row>
    <row r="9" spans="1:28" x14ac:dyDescent="0.3">
      <c r="A9">
        <v>7</v>
      </c>
      <c r="B9">
        <v>17.600000000000001</v>
      </c>
      <c r="C9">
        <v>4.5</v>
      </c>
      <c r="E9">
        <f t="shared" si="3"/>
        <v>3.2101097955893554E-2</v>
      </c>
      <c r="F9">
        <v>7</v>
      </c>
      <c r="G9">
        <v>69.3</v>
      </c>
      <c r="H9">
        <v>4.9989999999999997</v>
      </c>
      <c r="K9">
        <v>7</v>
      </c>
      <c r="L9">
        <v>79.7</v>
      </c>
      <c r="M9">
        <v>5.51</v>
      </c>
      <c r="O9">
        <f t="shared" si="2"/>
        <v>2.1730414203831039E-2</v>
      </c>
      <c r="X9" t="s">
        <v>19</v>
      </c>
    </row>
    <row r="10" spans="1:28" x14ac:dyDescent="0.3">
      <c r="A10">
        <v>8</v>
      </c>
      <c r="B10">
        <v>17.78</v>
      </c>
      <c r="C10">
        <v>4.7</v>
      </c>
      <c r="E10">
        <f t="shared" si="3"/>
        <v>2.1925769914241222E-2</v>
      </c>
      <c r="F10">
        <v>8</v>
      </c>
      <c r="G10">
        <v>73.78</v>
      </c>
      <c r="H10">
        <v>5.9660000000000002</v>
      </c>
      <c r="K10">
        <v>8</v>
      </c>
      <c r="L10">
        <v>81.3</v>
      </c>
      <c r="M10">
        <v>6.06</v>
      </c>
      <c r="O10">
        <f t="shared" si="2"/>
        <v>1.8539834462352189E-3</v>
      </c>
      <c r="X10">
        <f>16.5/3</f>
        <v>5.5</v>
      </c>
      <c r="Y10">
        <f>(1+0.25+0.25)/3</f>
        <v>0.5</v>
      </c>
    </row>
    <row r="11" spans="1:28" x14ac:dyDescent="0.3">
      <c r="A11">
        <v>9</v>
      </c>
      <c r="B11">
        <v>17.45</v>
      </c>
      <c r="C11">
        <v>5.05</v>
      </c>
      <c r="E11">
        <f t="shared" si="3"/>
        <v>4.0660351351563762E-2</v>
      </c>
      <c r="F11">
        <v>9</v>
      </c>
      <c r="G11">
        <v>72.790000000000006</v>
      </c>
      <c r="H11">
        <v>6.64</v>
      </c>
      <c r="K11">
        <v>9</v>
      </c>
      <c r="L11">
        <v>81.239999999999995</v>
      </c>
      <c r="M11">
        <v>6.29</v>
      </c>
      <c r="O11">
        <f t="shared" si="2"/>
        <v>2.5922632878163654E-3</v>
      </c>
    </row>
    <row r="12" spans="1:28" x14ac:dyDescent="0.3">
      <c r="A12">
        <v>10</v>
      </c>
      <c r="B12">
        <v>15.76</v>
      </c>
      <c r="C12">
        <v>6.02</v>
      </c>
      <c r="E12">
        <f t="shared" si="3"/>
        <v>0.14252491557026703</v>
      </c>
      <c r="F12">
        <v>10</v>
      </c>
      <c r="G12">
        <v>67.08</v>
      </c>
      <c r="H12">
        <v>7.55</v>
      </c>
      <c r="K12">
        <v>10</v>
      </c>
      <c r="L12">
        <v>80.73</v>
      </c>
      <c r="M12">
        <v>6.54</v>
      </c>
      <c r="O12">
        <f t="shared" si="2"/>
        <v>8.8897465930761754E-3</v>
      </c>
      <c r="U12" t="s">
        <v>26</v>
      </c>
      <c r="V12" t="s">
        <v>17</v>
      </c>
      <c r="W12" t="s">
        <v>16</v>
      </c>
      <c r="X12" t="s">
        <v>18</v>
      </c>
    </row>
    <row r="13" spans="1:28" x14ac:dyDescent="0.3">
      <c r="A13">
        <v>11</v>
      </c>
      <c r="B13">
        <v>14.86</v>
      </c>
      <c r="C13">
        <v>6.5</v>
      </c>
      <c r="E13">
        <f t="shared" si="3"/>
        <v>0.20132696071038669</v>
      </c>
      <c r="F13">
        <v>11</v>
      </c>
      <c r="G13">
        <v>59.6</v>
      </c>
      <c r="H13">
        <v>8.59</v>
      </c>
      <c r="K13">
        <v>11</v>
      </c>
      <c r="L13">
        <v>78.02</v>
      </c>
      <c r="M13">
        <v>7.07</v>
      </c>
      <c r="O13">
        <f t="shared" si="2"/>
        <v>4.3034795921490065E-2</v>
      </c>
      <c r="U13">
        <v>2.5</v>
      </c>
      <c r="V13">
        <v>4.7</v>
      </c>
      <c r="W13">
        <v>10.1</v>
      </c>
      <c r="X13">
        <f>W13-V13</f>
        <v>5.3999999999999995</v>
      </c>
    </row>
    <row r="14" spans="1:28" x14ac:dyDescent="0.3">
      <c r="A14">
        <v>12</v>
      </c>
      <c r="B14">
        <v>13.51</v>
      </c>
      <c r="C14">
        <v>7.03</v>
      </c>
      <c r="E14">
        <f t="shared" si="3"/>
        <v>0.29656984802789266</v>
      </c>
      <c r="F14">
        <v>12</v>
      </c>
      <c r="G14">
        <v>55.5</v>
      </c>
      <c r="H14">
        <v>9.5299999999999994</v>
      </c>
      <c r="K14">
        <v>12</v>
      </c>
      <c r="L14">
        <v>71.25</v>
      </c>
      <c r="M14">
        <v>8.0299999999999994</v>
      </c>
      <c r="O14">
        <f t="shared" si="2"/>
        <v>0.13380518085124038</v>
      </c>
      <c r="U14">
        <v>3</v>
      </c>
      <c r="V14">
        <v>5.96</v>
      </c>
      <c r="W14">
        <v>10.07</v>
      </c>
      <c r="X14">
        <f t="shared" ref="X14:X15" si="4">W14-V14</f>
        <v>4.1100000000000003</v>
      </c>
    </row>
    <row r="15" spans="1:28" x14ac:dyDescent="0.3">
      <c r="A15">
        <v>13</v>
      </c>
      <c r="B15">
        <v>10.8</v>
      </c>
      <c r="C15">
        <v>8.07</v>
      </c>
      <c r="E15">
        <f t="shared" si="3"/>
        <v>0.52045386586982589</v>
      </c>
      <c r="F15">
        <v>13</v>
      </c>
      <c r="G15">
        <v>55.45</v>
      </c>
      <c r="H15">
        <v>10.07</v>
      </c>
      <c r="K15">
        <v>13</v>
      </c>
      <c r="L15">
        <v>65.599999999999994</v>
      </c>
      <c r="M15">
        <v>9.06</v>
      </c>
      <c r="O15">
        <f t="shared" si="2"/>
        <v>0.21642430404995672</v>
      </c>
      <c r="U15">
        <v>3.43</v>
      </c>
      <c r="V15">
        <v>6.06</v>
      </c>
      <c r="W15">
        <v>9.6300000000000008</v>
      </c>
      <c r="X15">
        <f t="shared" si="4"/>
        <v>3.5700000000000012</v>
      </c>
    </row>
    <row r="16" spans="1:28" x14ac:dyDescent="0.3">
      <c r="A16">
        <v>14</v>
      </c>
      <c r="B16">
        <v>8.8000000000000007</v>
      </c>
      <c r="C16">
        <v>9.1</v>
      </c>
      <c r="E16">
        <f t="shared" si="3"/>
        <v>0.72524827851583895</v>
      </c>
      <c r="F16">
        <v>14</v>
      </c>
      <c r="G16">
        <v>59.3</v>
      </c>
      <c r="H16">
        <v>11.034000000000001</v>
      </c>
      <c r="K16">
        <v>14</v>
      </c>
      <c r="L16">
        <v>64.7</v>
      </c>
      <c r="M16">
        <v>9.6300000000000008</v>
      </c>
      <c r="O16">
        <f t="shared" si="2"/>
        <v>0.23023879849314532</v>
      </c>
    </row>
    <row r="17" spans="1:26" x14ac:dyDescent="0.3">
      <c r="A17">
        <v>15</v>
      </c>
      <c r="B17">
        <v>8.1999999999999993</v>
      </c>
      <c r="C17">
        <v>10.1</v>
      </c>
      <c r="E17">
        <f t="shared" si="3"/>
        <v>0.79586584572979246</v>
      </c>
      <c r="K17">
        <v>15</v>
      </c>
      <c r="L17">
        <v>69.02</v>
      </c>
      <c r="M17">
        <v>10.66</v>
      </c>
      <c r="O17">
        <f t="shared" si="2"/>
        <v>0.16560368233014344</v>
      </c>
      <c r="Z17">
        <f>(X13+X14)/2</f>
        <v>4.7549999999999999</v>
      </c>
    </row>
    <row r="18" spans="1:26" x14ac:dyDescent="0.3">
      <c r="A18">
        <v>16</v>
      </c>
      <c r="B18">
        <v>8.5</v>
      </c>
      <c r="C18">
        <v>11.1</v>
      </c>
      <c r="E18">
        <f t="shared" si="3"/>
        <v>0.75993383650372914</v>
      </c>
    </row>
    <row r="19" spans="1:26" x14ac:dyDescent="0.3">
      <c r="A19">
        <v>17</v>
      </c>
      <c r="B19">
        <v>9.3000000000000007</v>
      </c>
      <c r="C19">
        <v>12.3</v>
      </c>
      <c r="E19">
        <f t="shared" si="3"/>
        <v>0.66998559984078954</v>
      </c>
    </row>
    <row r="20" spans="1:26" x14ac:dyDescent="0.3">
      <c r="O20">
        <f>MIN(O4:O17)</f>
        <v>1.8539834462352189E-3</v>
      </c>
    </row>
    <row r="21" spans="1:26" x14ac:dyDescent="0.3">
      <c r="O21">
        <v>4.4000000000000004</v>
      </c>
    </row>
    <row r="23" spans="1:26" x14ac:dyDescent="0.3">
      <c r="E23">
        <f>MIN(E6:E19)</f>
        <v>2.1925769914241222E-2</v>
      </c>
    </row>
    <row r="24" spans="1:26" x14ac:dyDescent="0.3">
      <c r="E24">
        <v>2.9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2018-09-28T09:43:44Z</dcterms:modified>
</cp:coreProperties>
</file>