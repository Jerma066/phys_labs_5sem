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AH61" i="1" l="1"/>
  <c r="AI61" i="1"/>
  <c r="AJ61" i="1"/>
  <c r="AK61" i="1"/>
  <c r="AL61" i="1"/>
  <c r="AG61" i="1"/>
  <c r="AH59" i="1"/>
  <c r="AI59" i="1"/>
  <c r="AJ59" i="1"/>
  <c r="AK59" i="1"/>
  <c r="AL59" i="1"/>
  <c r="AG59" i="1"/>
  <c r="AG49" i="1"/>
  <c r="AH49" i="1"/>
  <c r="AI49" i="1"/>
  <c r="AJ49" i="1"/>
  <c r="AK49" i="1"/>
  <c r="AL49" i="1"/>
  <c r="AH39" i="1" l="1"/>
  <c r="AI39" i="1"/>
  <c r="AJ39" i="1"/>
  <c r="AK39" i="1"/>
  <c r="AL39" i="1"/>
  <c r="AG39" i="1"/>
  <c r="X36" i="1"/>
  <c r="Y36" i="1"/>
  <c r="Z36" i="1"/>
  <c r="AA36" i="1"/>
  <c r="X37" i="1"/>
  <c r="Y37" i="1"/>
  <c r="Z37" i="1"/>
  <c r="AA37" i="1"/>
  <c r="R41" i="1"/>
  <c r="R42" i="1"/>
  <c r="R44" i="1"/>
  <c r="P3" i="1"/>
  <c r="P4" i="1"/>
  <c r="P5" i="1"/>
  <c r="P6" i="1"/>
  <c r="P7" i="1"/>
  <c r="P8" i="1"/>
  <c r="P9" i="1"/>
  <c r="P10" i="1"/>
  <c r="P11" i="1"/>
  <c r="P12" i="1"/>
  <c r="P2" i="1"/>
  <c r="R45" i="1" l="1"/>
  <c r="R47" i="1" s="1"/>
  <c r="I32" i="1" l="1"/>
  <c r="J32" i="1"/>
  <c r="I35" i="1"/>
  <c r="J35" i="1"/>
  <c r="I34" i="1"/>
  <c r="J34" i="1"/>
  <c r="J33" i="1"/>
  <c r="J36" i="1"/>
  <c r="J37" i="1"/>
  <c r="J38" i="1"/>
  <c r="J39" i="1"/>
  <c r="J40" i="1"/>
  <c r="J41" i="1"/>
  <c r="J42" i="1"/>
  <c r="I33" i="1"/>
  <c r="I36" i="1"/>
  <c r="I37" i="1"/>
  <c r="I38" i="1"/>
  <c r="I39" i="1"/>
  <c r="I40" i="1"/>
  <c r="I41" i="1"/>
  <c r="I42" i="1"/>
  <c r="J18" i="1" l="1"/>
  <c r="J19" i="1"/>
  <c r="J20" i="1"/>
  <c r="J21" i="1"/>
  <c r="J22" i="1"/>
  <c r="J23" i="1"/>
  <c r="J24" i="1"/>
  <c r="J25" i="1"/>
  <c r="J26" i="1"/>
  <c r="J27" i="1"/>
  <c r="J17" i="1"/>
  <c r="E10" i="1"/>
  <c r="E11" i="1"/>
  <c r="E9" i="1"/>
  <c r="C10" i="1"/>
  <c r="C11" i="1"/>
  <c r="C9" i="1"/>
</calcChain>
</file>

<file path=xl/sharedStrings.xml><?xml version="1.0" encoding="utf-8"?>
<sst xmlns="http://schemas.openxmlformats.org/spreadsheetml/2006/main" count="41" uniqueCount="29">
  <si>
    <t>Показания термопары, мВ</t>
  </si>
  <si>
    <t>Значение $T_{АЧТ}$ подобранное снизу, $^\circ C$</t>
  </si>
  <si>
    <t>Значение $T_{АЧТ}$ подобранное свеху</t>
  </si>
  <si>
    <t>$T_\{пирометра}$, $^\circ C$</t>
  </si>
  <si>
    <t xml:space="preserve"> I, А</t>
  </si>
  <si>
    <t>U, В</t>
  </si>
  <si>
    <t>$T_\{абсолютная}$, $^\circ C$</t>
  </si>
  <si>
    <t>W(мощность), Вт</t>
  </si>
  <si>
    <t>ln($T_\{абсолютная}$)</t>
  </si>
  <si>
    <t>ln(W)</t>
  </si>
  <si>
    <t>&lt;x&gt;^2</t>
  </si>
  <si>
    <t>&lt;x^2&gt;</t>
  </si>
  <si>
    <t>&lt;y&gt;^2</t>
  </si>
  <si>
    <t>&lt;y^2&gt;</t>
  </si>
  <si>
    <t>Gn</t>
  </si>
  <si>
    <t>T</t>
  </si>
  <si>
    <t>$\varepsilon_T$</t>
  </si>
  <si>
    <t>W</t>
  </si>
  <si>
    <t>Tпирометра, К</t>
  </si>
  <si>
    <t>$\sigma$ $\cdot  *10^{-124},  $\frac{\text{Вт}}{text{см^2}\cdot text{K^4}}$</t>
  </si>
  <si>
    <t>h</t>
  </si>
  <si>
    <t xml:space="preserve">h </t>
  </si>
  <si>
    <t>sigma</t>
  </si>
  <si>
    <t>дельта сигма</t>
  </si>
  <si>
    <t>аш</t>
  </si>
  <si>
    <t>сигма</t>
  </si>
  <si>
    <t>дельта аш</t>
  </si>
  <si>
    <t>Delta h</t>
  </si>
  <si>
    <t>Delta 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</si>
</sst>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W=f(T)</c:v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Лист1!$Q$17:$AA$17</c:f>
              <c:numCache>
                <c:formatCode>General</c:formatCode>
                <c:ptCount val="11"/>
                <c:pt idx="0">
                  <c:v>1225</c:v>
                </c:pt>
                <c:pt idx="1">
                  <c:v>1327</c:v>
                </c:pt>
                <c:pt idx="2">
                  <c:v>1429</c:v>
                </c:pt>
                <c:pt idx="3">
                  <c:v>1531</c:v>
                </c:pt>
                <c:pt idx="4">
                  <c:v>1633</c:v>
                </c:pt>
                <c:pt idx="5">
                  <c:v>1735</c:v>
                </c:pt>
                <c:pt idx="6">
                  <c:v>1837</c:v>
                </c:pt>
                <c:pt idx="7">
                  <c:v>1939</c:v>
                </c:pt>
                <c:pt idx="8">
                  <c:v>2041</c:v>
                </c:pt>
                <c:pt idx="9">
                  <c:v>2143</c:v>
                </c:pt>
                <c:pt idx="10">
                  <c:v>2245</c:v>
                </c:pt>
              </c:numCache>
            </c:numRef>
          </c:xVal>
          <c:yVal>
            <c:numRef>
              <c:f>Лист1!$Q$18:$AA$18</c:f>
              <c:numCache>
                <c:formatCode>General</c:formatCode>
                <c:ptCount val="11"/>
                <c:pt idx="0">
                  <c:v>0.97499999999999998</c:v>
                </c:pt>
                <c:pt idx="1">
                  <c:v>0.99792000000000003</c:v>
                </c:pt>
                <c:pt idx="2">
                  <c:v>1.21672</c:v>
                </c:pt>
                <c:pt idx="3">
                  <c:v>2.9202599999999999</c:v>
                </c:pt>
                <c:pt idx="4">
                  <c:v>3.0324</c:v>
                </c:pt>
                <c:pt idx="5">
                  <c:v>4.1222799999999999</c:v>
                </c:pt>
                <c:pt idx="6">
                  <c:v>4.7320399999999996</c:v>
                </c:pt>
                <c:pt idx="7">
                  <c:v>5.0107200000000001</c:v>
                </c:pt>
                <c:pt idx="8">
                  <c:v>5.7446099999999998</c:v>
                </c:pt>
                <c:pt idx="9">
                  <c:v>7.0977799999999993</c:v>
                </c:pt>
                <c:pt idx="10">
                  <c:v>9.7325799999999987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73600"/>
        <c:axId val="97675904"/>
      </c:scatterChart>
      <c:valAx>
        <c:axId val="97673600"/>
        <c:scaling>
          <c:orientation val="minMax"/>
          <c:min val="12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Термодинамическая</a:t>
                </a:r>
                <a:r>
                  <a:rPr lang="ru-RU" baseline="0"/>
                  <a:t> температура</a:t>
                </a:r>
                <a:r>
                  <a:rPr lang="en-US" baseline="0"/>
                  <a:t>, T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7675904"/>
        <c:crosses val="autoZero"/>
        <c:crossBetween val="midCat"/>
      </c:valAx>
      <c:valAx>
        <c:axId val="976759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Мощность</a:t>
                </a:r>
                <a:r>
                  <a:rPr lang="ru-RU" baseline="0"/>
                  <a:t>, потрбляемая нитью лампы, </a:t>
                </a:r>
                <a:r>
                  <a:rPr lang="en-US" baseline="0"/>
                  <a:t>W(T)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7673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/>
              </a:solidFill>
            </c:spPr>
          </c:marker>
          <c:trendline>
            <c:trendlineType val="linear"/>
            <c:forward val="2.0000000000000004E-2"/>
            <c:backward val="1.0000000000000002E-2"/>
            <c:dispRSqr val="0"/>
            <c:dispEq val="1"/>
            <c:trendlineLbl>
              <c:layout>
                <c:manualLayout>
                  <c:x val="-0.12205619077623107"/>
                  <c:y val="1.8709216726251158E-3"/>
                </c:manualLayout>
              </c:layout>
              <c:numFmt formatCode="General" sourceLinked="0"/>
            </c:trendlineLbl>
          </c:trendline>
          <c:xVal>
            <c:numRef>
              <c:f>Лист1!$X$34:$AA$34</c:f>
              <c:numCache>
                <c:formatCode>0.000</c:formatCode>
                <c:ptCount val="4"/>
                <c:pt idx="0">
                  <c:v>3.2875778090787056</c:v>
                </c:pt>
                <c:pt idx="1">
                  <c:v>3.3098430047160705</c:v>
                </c:pt>
                <c:pt idx="2">
                  <c:v>3.3310221710418286</c:v>
                </c:pt>
                <c:pt idx="3">
                  <c:v>3.351216345339342</c:v>
                </c:pt>
              </c:numCache>
            </c:numRef>
          </c:xVal>
          <c:yVal>
            <c:numRef>
              <c:f>Лист1!$X$35:$AA$35</c:f>
              <c:numCache>
                <c:formatCode>0.000</c:formatCode>
                <c:ptCount val="4"/>
                <c:pt idx="0">
                  <c:v>0.69990013496110492</c:v>
                </c:pt>
                <c:pt idx="1">
                  <c:v>0.75926054989162894</c:v>
                </c:pt>
                <c:pt idx="2">
                  <c:v>0.85112253399907212</c:v>
                </c:pt>
                <c:pt idx="3">
                  <c:v>0.98822798222485231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13536"/>
        <c:axId val="97719808"/>
      </c:scatterChart>
      <c:valAx>
        <c:axId val="97713536"/>
        <c:scaling>
          <c:orientation val="minMax"/>
          <c:min val="3.27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ln(T)</a:t>
                </a:r>
                <a:endParaRPr lang="ru-RU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low"/>
        <c:crossAx val="97719808"/>
        <c:crosses val="autoZero"/>
        <c:crossBetween val="midCat"/>
      </c:valAx>
      <c:valAx>
        <c:axId val="97719808"/>
        <c:scaling>
          <c:orientation val="minMax"/>
          <c:min val="0.60000000000000009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ln(W)</a:t>
                </a:r>
                <a:endParaRPr lang="ru-RU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97713536"/>
        <c:crosses val="autoZero"/>
        <c:crossBetween val="midCat"/>
        <c:majorUnit val="0.1"/>
        <c:minorUnit val="5.000000000000001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931719</xdr:colOff>
      <xdr:row>14</xdr:row>
      <xdr:rowOff>67195</xdr:rowOff>
    </xdr:from>
    <xdr:to>
      <xdr:col>6</xdr:col>
      <xdr:colOff>6928</xdr:colOff>
      <xdr:row>39</xdr:row>
      <xdr:rowOff>90054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12891</xdr:colOff>
      <xdr:row>36</xdr:row>
      <xdr:rowOff>46083</xdr:rowOff>
    </xdr:from>
    <xdr:to>
      <xdr:col>15</xdr:col>
      <xdr:colOff>1226157</xdr:colOff>
      <xdr:row>54</xdr:row>
      <xdr:rowOff>115113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69"/>
  <sheetViews>
    <sheetView tabSelected="1" topLeftCell="X42" zoomScale="85" zoomScaleNormal="85" workbookViewId="0">
      <selection activeCell="AI66" sqref="AI66:AO69"/>
    </sheetView>
  </sheetViews>
  <sheetFormatPr defaultRowHeight="14.4" x14ac:dyDescent="0.3"/>
  <cols>
    <col min="2" max="2" width="38.21875" customWidth="1"/>
    <col min="3" max="3" width="35.21875" customWidth="1"/>
    <col min="4" max="4" width="36.21875" customWidth="1"/>
    <col min="5" max="5" width="26" customWidth="1"/>
    <col min="9" max="9" width="26.6640625" customWidth="1"/>
    <col min="10" max="10" width="15.44140625" customWidth="1"/>
    <col min="12" max="12" width="8.5546875" customWidth="1"/>
    <col min="13" max="15" width="8.88671875" hidden="1" customWidth="1"/>
    <col min="16" max="16" width="29.6640625" customWidth="1"/>
    <col min="30" max="31" width="8.88671875" customWidth="1"/>
    <col min="32" max="32" width="63.109375" customWidth="1"/>
    <col min="33" max="33" width="12.33203125" bestFit="1" customWidth="1"/>
  </cols>
  <sheetData>
    <row r="1" spans="2:16" x14ac:dyDescent="0.3">
      <c r="I1" t="s">
        <v>3</v>
      </c>
      <c r="J1" t="s">
        <v>4</v>
      </c>
      <c r="K1" t="s">
        <v>5</v>
      </c>
      <c r="P1" t="s">
        <v>18</v>
      </c>
    </row>
    <row r="2" spans="2:16" x14ac:dyDescent="0.3">
      <c r="B2" t="s">
        <v>1</v>
      </c>
      <c r="C2" t="s">
        <v>0</v>
      </c>
      <c r="D2" t="s">
        <v>2</v>
      </c>
      <c r="E2" t="s">
        <v>0</v>
      </c>
      <c r="I2">
        <v>900</v>
      </c>
      <c r="J2">
        <v>0.5</v>
      </c>
      <c r="K2">
        <v>1.95</v>
      </c>
      <c r="P2">
        <f>I2 + 273</f>
        <v>1173</v>
      </c>
    </row>
    <row r="3" spans="2:16" x14ac:dyDescent="0.3">
      <c r="B3">
        <v>1083</v>
      </c>
      <c r="C3">
        <v>40.840000000000003</v>
      </c>
      <c r="D3">
        <v>1086</v>
      </c>
      <c r="E3">
        <v>41.07</v>
      </c>
      <c r="I3">
        <v>1000</v>
      </c>
      <c r="J3">
        <v>0.504</v>
      </c>
      <c r="K3">
        <v>1.98</v>
      </c>
      <c r="P3">
        <f t="shared" ref="P3:P12" si="0">I3 + 273</f>
        <v>1273</v>
      </c>
    </row>
    <row r="4" spans="2:16" x14ac:dyDescent="0.3">
      <c r="B4">
        <v>1090</v>
      </c>
      <c r="C4">
        <v>41.17</v>
      </c>
      <c r="D4">
        <v>1089</v>
      </c>
      <c r="E4">
        <v>41.13</v>
      </c>
      <c r="I4">
        <v>1100</v>
      </c>
      <c r="J4">
        <v>0.53600000000000003</v>
      </c>
      <c r="K4">
        <v>2.27</v>
      </c>
      <c r="P4">
        <f t="shared" si="0"/>
        <v>1373</v>
      </c>
    </row>
    <row r="5" spans="2:16" x14ac:dyDescent="0.3">
      <c r="B5">
        <v>1086</v>
      </c>
      <c r="C5">
        <v>41.03</v>
      </c>
      <c r="D5">
        <v>1099</v>
      </c>
      <c r="E5">
        <v>40.99</v>
      </c>
      <c r="I5">
        <v>1200</v>
      </c>
      <c r="J5">
        <v>0.71399999999999997</v>
      </c>
      <c r="K5">
        <v>4.09</v>
      </c>
      <c r="P5">
        <f t="shared" si="0"/>
        <v>1473</v>
      </c>
    </row>
    <row r="6" spans="2:16" x14ac:dyDescent="0.3">
      <c r="I6">
        <v>1300</v>
      </c>
      <c r="J6">
        <v>0.72199999999999998</v>
      </c>
      <c r="K6">
        <v>4.2</v>
      </c>
      <c r="P6">
        <f t="shared" si="0"/>
        <v>1573</v>
      </c>
    </row>
    <row r="7" spans="2:16" x14ac:dyDescent="0.3">
      <c r="I7">
        <v>1400</v>
      </c>
      <c r="J7">
        <v>0.80200000000000005</v>
      </c>
      <c r="K7">
        <v>5.14</v>
      </c>
      <c r="P7">
        <f t="shared" si="0"/>
        <v>1673</v>
      </c>
    </row>
    <row r="8" spans="2:16" x14ac:dyDescent="0.3">
      <c r="B8" t="s">
        <v>1</v>
      </c>
      <c r="C8" t="s">
        <v>0</v>
      </c>
      <c r="D8" t="s">
        <v>2</v>
      </c>
      <c r="E8" t="s">
        <v>0</v>
      </c>
      <c r="I8">
        <v>1500</v>
      </c>
      <c r="J8">
        <v>0.84199999999999997</v>
      </c>
      <c r="K8">
        <v>5.62</v>
      </c>
      <c r="P8">
        <f t="shared" si="0"/>
        <v>1773</v>
      </c>
    </row>
    <row r="9" spans="2:16" x14ac:dyDescent="0.3">
      <c r="B9">
        <v>1083</v>
      </c>
      <c r="C9">
        <f>((C3+0.06)*1000/41)+24</f>
        <v>1021.5609756097563</v>
      </c>
      <c r="D9">
        <v>1086</v>
      </c>
      <c r="E9">
        <f>(E3+0.06)*1000/41 + 24</f>
        <v>1027.1707317073169</v>
      </c>
      <c r="I9">
        <v>1600</v>
      </c>
      <c r="J9">
        <v>0.85799999999999998</v>
      </c>
      <c r="K9">
        <v>5.84</v>
      </c>
      <c r="P9">
        <f t="shared" si="0"/>
        <v>1873</v>
      </c>
    </row>
    <row r="10" spans="2:16" x14ac:dyDescent="0.3">
      <c r="B10">
        <v>1090</v>
      </c>
      <c r="C10">
        <f t="shared" ref="C10:C11" si="1">((C4+0.06)*1000/41)+24</f>
        <v>1029.6097560975611</v>
      </c>
      <c r="D10">
        <v>1089</v>
      </c>
      <c r="E10">
        <f t="shared" ref="E10:E11" si="2">(E4+0.06)*1000/41 + 24</f>
        <v>1028.6341463414637</v>
      </c>
      <c r="I10">
        <v>1700</v>
      </c>
      <c r="J10">
        <v>0.89900000000000002</v>
      </c>
      <c r="K10">
        <v>6.39</v>
      </c>
      <c r="P10">
        <f t="shared" si="0"/>
        <v>1973</v>
      </c>
    </row>
    <row r="11" spans="2:16" x14ac:dyDescent="0.3">
      <c r="B11">
        <v>1086</v>
      </c>
      <c r="C11">
        <f t="shared" si="1"/>
        <v>1026.1951219512196</v>
      </c>
      <c r="D11">
        <v>1099</v>
      </c>
      <c r="E11">
        <f t="shared" si="2"/>
        <v>1025.2195121951222</v>
      </c>
      <c r="I11">
        <v>1800</v>
      </c>
      <c r="J11">
        <v>0.96699999999999997</v>
      </c>
      <c r="K11">
        <v>7.34</v>
      </c>
      <c r="P11">
        <f t="shared" si="0"/>
        <v>2073</v>
      </c>
    </row>
    <row r="12" spans="2:16" x14ac:dyDescent="0.3">
      <c r="I12">
        <v>1900</v>
      </c>
      <c r="J12">
        <v>1.079</v>
      </c>
      <c r="K12">
        <v>9.02</v>
      </c>
      <c r="P12">
        <f t="shared" si="0"/>
        <v>2173</v>
      </c>
    </row>
    <row r="16" spans="2:16" x14ac:dyDescent="0.3">
      <c r="I16" t="s">
        <v>6</v>
      </c>
      <c r="J16" t="s">
        <v>7</v>
      </c>
    </row>
    <row r="17" spans="9:27" x14ac:dyDescent="0.3">
      <c r="I17">
        <v>1225</v>
      </c>
      <c r="J17">
        <f>J2*K2</f>
        <v>0.97499999999999998</v>
      </c>
      <c r="P17" t="s">
        <v>6</v>
      </c>
      <c r="Q17">
        <v>1225</v>
      </c>
      <c r="R17">
        <v>1327</v>
      </c>
      <c r="S17">
        <v>1429</v>
      </c>
      <c r="T17">
        <v>1531</v>
      </c>
      <c r="U17">
        <v>1633</v>
      </c>
      <c r="V17">
        <v>1735</v>
      </c>
      <c r="W17">
        <v>1837</v>
      </c>
      <c r="X17">
        <v>1939</v>
      </c>
      <c r="Y17">
        <v>2041</v>
      </c>
      <c r="Z17">
        <v>2143</v>
      </c>
      <c r="AA17">
        <v>2245</v>
      </c>
    </row>
    <row r="18" spans="9:27" x14ac:dyDescent="0.3">
      <c r="I18">
        <v>1327</v>
      </c>
      <c r="J18">
        <f t="shared" ref="J18:J27" si="3">J3*K3</f>
        <v>0.99792000000000003</v>
      </c>
      <c r="P18" t="s">
        <v>7</v>
      </c>
      <c r="Q18">
        <v>0.97499999999999998</v>
      </c>
      <c r="R18">
        <v>0.99792000000000003</v>
      </c>
      <c r="S18">
        <v>1.21672</v>
      </c>
      <c r="T18">
        <v>2.9202599999999999</v>
      </c>
      <c r="U18">
        <v>3.0324</v>
      </c>
      <c r="V18">
        <v>4.1222799999999999</v>
      </c>
      <c r="W18">
        <v>4.7320399999999996</v>
      </c>
      <c r="X18">
        <v>5.0107200000000001</v>
      </c>
      <c r="Y18">
        <v>5.7446099999999998</v>
      </c>
      <c r="Z18">
        <v>7.0977799999999993</v>
      </c>
      <c r="AA18">
        <v>9.7325799999999987</v>
      </c>
    </row>
    <row r="19" spans="9:27" x14ac:dyDescent="0.3">
      <c r="I19">
        <v>1429</v>
      </c>
      <c r="J19">
        <f t="shared" si="3"/>
        <v>1.21672</v>
      </c>
    </row>
    <row r="20" spans="9:27" x14ac:dyDescent="0.3">
      <c r="I20">
        <v>1531</v>
      </c>
      <c r="J20">
        <f t="shared" si="3"/>
        <v>2.9202599999999999</v>
      </c>
    </row>
    <row r="21" spans="9:27" x14ac:dyDescent="0.3">
      <c r="I21">
        <v>1633</v>
      </c>
      <c r="J21">
        <f t="shared" si="3"/>
        <v>3.0324</v>
      </c>
    </row>
    <row r="22" spans="9:27" x14ac:dyDescent="0.3">
      <c r="I22">
        <v>1735</v>
      </c>
      <c r="J22">
        <f t="shared" si="3"/>
        <v>4.1222799999999999</v>
      </c>
    </row>
    <row r="23" spans="9:27" x14ac:dyDescent="0.3">
      <c r="I23">
        <v>1837</v>
      </c>
      <c r="J23">
        <f t="shared" si="3"/>
        <v>4.7320399999999996</v>
      </c>
    </row>
    <row r="24" spans="9:27" x14ac:dyDescent="0.3">
      <c r="I24">
        <v>1939</v>
      </c>
      <c r="J24">
        <f t="shared" si="3"/>
        <v>5.0107200000000001</v>
      </c>
    </row>
    <row r="25" spans="9:27" x14ac:dyDescent="0.3">
      <c r="I25">
        <v>2041</v>
      </c>
      <c r="J25">
        <f t="shared" si="3"/>
        <v>5.7446099999999998</v>
      </c>
    </row>
    <row r="26" spans="9:27" x14ac:dyDescent="0.3">
      <c r="I26">
        <v>2143</v>
      </c>
      <c r="J26">
        <f t="shared" si="3"/>
        <v>7.0977799999999993</v>
      </c>
    </row>
    <row r="27" spans="9:27" x14ac:dyDescent="0.3">
      <c r="I27">
        <v>2245</v>
      </c>
      <c r="J27">
        <f t="shared" si="3"/>
        <v>9.7325799999999987</v>
      </c>
    </row>
    <row r="31" spans="9:27" x14ac:dyDescent="0.3">
      <c r="I31" t="s">
        <v>8</v>
      </c>
      <c r="J31" t="s">
        <v>9</v>
      </c>
    </row>
    <row r="32" spans="9:27" x14ac:dyDescent="0.3">
      <c r="I32">
        <f>LOG(I17)</f>
        <v>3.0881360887005513</v>
      </c>
      <c r="J32">
        <f>LOG(J17)</f>
        <v>-1.0995384301463193E-2</v>
      </c>
    </row>
    <row r="33" spans="9:38" x14ac:dyDescent="0.3">
      <c r="I33">
        <f t="shared" ref="I33:J42" si="4">LOG(I18)</f>
        <v>3.1228709228644354</v>
      </c>
      <c r="J33">
        <f t="shared" si="4"/>
        <v>-9.0427329294358576E-4</v>
      </c>
    </row>
    <row r="34" spans="9:38" x14ac:dyDescent="0.3">
      <c r="I34">
        <f t="shared" si="4"/>
        <v>3.1550322287909704</v>
      </c>
      <c r="J34">
        <f t="shared" si="4"/>
        <v>8.5190646885892743E-2</v>
      </c>
      <c r="P34" t="s">
        <v>8</v>
      </c>
      <c r="Q34" s="1">
        <v>3.0881360887005513</v>
      </c>
      <c r="R34" s="1">
        <v>3.1228709228644354</v>
      </c>
      <c r="S34" s="1">
        <v>3.1550322287909704</v>
      </c>
      <c r="T34" s="1">
        <v>3.1849751906982608</v>
      </c>
      <c r="U34" s="1">
        <v>3.2129861847366681</v>
      </c>
      <c r="V34" s="1">
        <v>3.2392994791268923</v>
      </c>
      <c r="W34" s="1">
        <v>3.2641091563058082</v>
      </c>
      <c r="X34" s="1">
        <v>3.2875778090787056</v>
      </c>
      <c r="Y34" s="1">
        <v>3.3098430047160705</v>
      </c>
      <c r="Z34" s="1">
        <v>3.3310221710418286</v>
      </c>
      <c r="AA34" s="1">
        <v>3.351216345339342</v>
      </c>
    </row>
    <row r="35" spans="9:38" x14ac:dyDescent="0.3">
      <c r="I35">
        <f t="shared" si="4"/>
        <v>3.1849751906982608</v>
      </c>
      <c r="J35">
        <f t="shared" si="4"/>
        <v>0.46542151978351615</v>
      </c>
      <c r="P35" t="s">
        <v>9</v>
      </c>
      <c r="Q35" s="1">
        <v>-1.0995384301463193E-2</v>
      </c>
      <c r="R35" s="1">
        <v>-9.0427329294358576E-4</v>
      </c>
      <c r="S35" s="1">
        <v>8.5190646885892743E-2</v>
      </c>
      <c r="T35" s="1">
        <v>0.46542151978351615</v>
      </c>
      <c r="U35" s="1">
        <v>0.48178648796753959</v>
      </c>
      <c r="V35" s="1">
        <v>0.61513748727943918</v>
      </c>
      <c r="W35" s="1">
        <v>0.6750484070687105</v>
      </c>
      <c r="X35" s="1">
        <v>0.69990013496110492</v>
      </c>
      <c r="Y35" s="1">
        <v>0.75926054989162894</v>
      </c>
      <c r="Z35" s="1">
        <v>0.85112253399907212</v>
      </c>
      <c r="AA35" s="1">
        <v>0.98822798222485231</v>
      </c>
    </row>
    <row r="36" spans="9:38" x14ac:dyDescent="0.3">
      <c r="I36">
        <f t="shared" si="4"/>
        <v>3.2129861847366681</v>
      </c>
      <c r="J36">
        <f t="shared" si="4"/>
        <v>0.48178648796753959</v>
      </c>
      <c r="X36">
        <f>X35*X35</f>
        <v>0.48986019891857291</v>
      </c>
      <c r="Y36">
        <f t="shared" ref="Y36:AA36" si="5">Y35*Y35</f>
        <v>0.57647658262173873</v>
      </c>
      <c r="Z36">
        <f t="shared" si="5"/>
        <v>0.72440956788100164</v>
      </c>
      <c r="AA36">
        <f t="shared" si="5"/>
        <v>0.97659454485220298</v>
      </c>
      <c r="AF36" t="s">
        <v>15</v>
      </c>
      <c r="AG36">
        <v>1735</v>
      </c>
      <c r="AH36">
        <v>1837</v>
      </c>
      <c r="AI36">
        <v>1939</v>
      </c>
      <c r="AJ36">
        <v>2041</v>
      </c>
      <c r="AK36">
        <v>2143</v>
      </c>
      <c r="AL36">
        <v>2245</v>
      </c>
    </row>
    <row r="37" spans="9:38" x14ac:dyDescent="0.3">
      <c r="I37">
        <f t="shared" si="4"/>
        <v>3.2392994791268923</v>
      </c>
      <c r="J37">
        <f t="shared" si="4"/>
        <v>0.61513748727943918</v>
      </c>
      <c r="X37">
        <f>X34*X34</f>
        <v>10.808167850746742</v>
      </c>
      <c r="Y37">
        <f t="shared" ref="Y37:AA37" si="6">Y34*Y34</f>
        <v>10.955060715867907</v>
      </c>
      <c r="Z37">
        <f t="shared" si="6"/>
        <v>11.095708703972218</v>
      </c>
      <c r="AA37">
        <f t="shared" si="6"/>
        <v>11.230650993269576</v>
      </c>
      <c r="AF37" t="s">
        <v>16</v>
      </c>
      <c r="AG37">
        <v>0.441</v>
      </c>
      <c r="AH37">
        <v>0.439</v>
      </c>
      <c r="AI37">
        <v>0.437</v>
      </c>
      <c r="AJ37">
        <v>0.435</v>
      </c>
      <c r="AK37">
        <v>0.433</v>
      </c>
      <c r="AL37">
        <v>0.43099999999999999</v>
      </c>
    </row>
    <row r="38" spans="9:38" x14ac:dyDescent="0.3">
      <c r="I38">
        <f t="shared" si="4"/>
        <v>3.2641091563058082</v>
      </c>
      <c r="J38">
        <f t="shared" si="4"/>
        <v>0.6750484070687105</v>
      </c>
      <c r="AF38" t="s">
        <v>17</v>
      </c>
      <c r="AG38">
        <v>4.1222799999999999</v>
      </c>
      <c r="AH38">
        <v>4.7320399999999996</v>
      </c>
      <c r="AI38">
        <v>5.0107200000000001</v>
      </c>
      <c r="AJ38">
        <v>5.7446099999999998</v>
      </c>
      <c r="AK38">
        <v>7.0977799999999993</v>
      </c>
      <c r="AL38">
        <v>9.7325799999999987</v>
      </c>
    </row>
    <row r="39" spans="9:38" x14ac:dyDescent="0.3">
      <c r="I39">
        <f t="shared" si="4"/>
        <v>3.2875778090787056</v>
      </c>
      <c r="J39">
        <f t="shared" si="4"/>
        <v>0.69990013496110492</v>
      </c>
      <c r="AF39" t="s">
        <v>19</v>
      </c>
      <c r="AG39">
        <f>(10^12)*AG38/(AG37*AG36^4 * 0.36)</f>
        <v>2.865487250885244</v>
      </c>
      <c r="AH39">
        <f t="shared" ref="AH39:AL39" si="7">(10^12)*AH38/(AH37*AH36^4 * 0.36)</f>
        <v>2.6293279669761151</v>
      </c>
      <c r="AI39">
        <f t="shared" si="7"/>
        <v>2.2532270739018632</v>
      </c>
      <c r="AJ39">
        <f t="shared" si="7"/>
        <v>2.1139600384748598</v>
      </c>
      <c r="AK39">
        <f t="shared" si="7"/>
        <v>2.1589543162825064</v>
      </c>
      <c r="AL39">
        <f t="shared" si="7"/>
        <v>2.4693510219925545</v>
      </c>
    </row>
    <row r="40" spans="9:38" x14ac:dyDescent="0.3">
      <c r="I40">
        <f t="shared" si="4"/>
        <v>3.3098430047160705</v>
      </c>
      <c r="J40">
        <f t="shared" si="4"/>
        <v>0.75926054989162894</v>
      </c>
    </row>
    <row r="41" spans="9:38" x14ac:dyDescent="0.3">
      <c r="I41">
        <f t="shared" si="4"/>
        <v>3.3310221710418286</v>
      </c>
      <c r="J41">
        <f t="shared" si="4"/>
        <v>0.85112253399907212</v>
      </c>
      <c r="Q41" t="s">
        <v>10</v>
      </c>
      <c r="R41">
        <f>(SUM(X34:AA34)/4)^2</f>
        <v>11.021834495345566</v>
      </c>
    </row>
    <row r="42" spans="9:38" x14ac:dyDescent="0.3">
      <c r="I42">
        <f t="shared" si="4"/>
        <v>3.351216345339342</v>
      </c>
      <c r="J42">
        <f t="shared" si="4"/>
        <v>0.98822798222485231</v>
      </c>
      <c r="Q42" t="s">
        <v>11</v>
      </c>
      <c r="R42">
        <f>SUM(X37:AA37)/4</f>
        <v>11.02239706596411</v>
      </c>
    </row>
    <row r="44" spans="9:38" x14ac:dyDescent="0.3">
      <c r="Q44" t="s">
        <v>12</v>
      </c>
      <c r="R44">
        <f>(SUM(X35:AA35)/4)^2</f>
        <v>0.68001100897676126</v>
      </c>
    </row>
    <row r="45" spans="9:38" x14ac:dyDescent="0.3">
      <c r="Q45" t="s">
        <v>13</v>
      </c>
      <c r="R45">
        <f>SUM(X36:AA36)/4</f>
        <v>0.69183522356837912</v>
      </c>
    </row>
    <row r="47" spans="9:38" x14ac:dyDescent="0.3">
      <c r="Q47" t="s">
        <v>14</v>
      </c>
      <c r="R47">
        <f>(1/2)*SQRT((R45-R44)/(R42-R41) - 3.7*3.7)</f>
        <v>1.3535312364036689</v>
      </c>
    </row>
    <row r="49" spans="32:38" x14ac:dyDescent="0.3">
      <c r="AF49" t="s">
        <v>21</v>
      </c>
      <c r="AG49" s="2">
        <f>(2*100* (3.1415926)^5 * (1.38049)^4 / (15*9 *AG39))^(1/3)</f>
        <v>8.3136814086063513</v>
      </c>
      <c r="AH49" s="2">
        <f t="shared" ref="AH49:AL49" si="8">(2 *100* (3.1415926)^5 * (1.38049)^4 / (15*9 *AH39))^(1/3)</f>
        <v>8.5554846738668271</v>
      </c>
      <c r="AI49" s="2">
        <f t="shared" si="8"/>
        <v>9.0072292742321292</v>
      </c>
      <c r="AJ49" s="2">
        <f t="shared" si="8"/>
        <v>9.2008357976892352</v>
      </c>
      <c r="AK49" s="2">
        <f t="shared" si="8"/>
        <v>9.1364690424630393</v>
      </c>
      <c r="AL49" s="2">
        <f t="shared" si="8"/>
        <v>8.7363882874649654</v>
      </c>
    </row>
    <row r="50" spans="32:38" x14ac:dyDescent="0.3">
      <c r="AF50" t="s">
        <v>22</v>
      </c>
      <c r="AG50" s="2">
        <v>2.865487250885244</v>
      </c>
      <c r="AH50" s="2">
        <v>2.6293279669761151</v>
      </c>
      <c r="AI50" s="2">
        <v>2.2532270739018632</v>
      </c>
      <c r="AJ50" s="2">
        <v>2.1139600384748598</v>
      </c>
      <c r="AK50" s="2">
        <v>2.1589543162825064</v>
      </c>
      <c r="AL50" s="2">
        <v>2.4693510219925545</v>
      </c>
    </row>
    <row r="53" spans="32:38" x14ac:dyDescent="0.3">
      <c r="AF53" s="3" t="s">
        <v>21</v>
      </c>
      <c r="AG53" s="3">
        <v>8.3136814086063513</v>
      </c>
      <c r="AH53" s="3">
        <v>8.5554846738668271</v>
      </c>
      <c r="AI53" s="3">
        <v>9.0072292742321292</v>
      </c>
      <c r="AJ53" s="3">
        <v>9.2008357976892352</v>
      </c>
      <c r="AK53" s="3">
        <v>9.1364690424630393</v>
      </c>
      <c r="AL53" s="3">
        <v>8.7363882874649654</v>
      </c>
    </row>
    <row r="54" spans="32:38" x14ac:dyDescent="0.3">
      <c r="AF54" s="3" t="s">
        <v>22</v>
      </c>
      <c r="AG54" s="3">
        <v>2.865487250885244</v>
      </c>
      <c r="AH54" s="3">
        <v>2.6293279669761151</v>
      </c>
      <c r="AI54" s="3">
        <v>2.2532270739018632</v>
      </c>
      <c r="AJ54" s="3">
        <v>2.1139600384748598</v>
      </c>
      <c r="AK54" s="3">
        <v>2.1589543162825064</v>
      </c>
      <c r="AL54" s="3">
        <v>2.4693510219925545</v>
      </c>
    </row>
    <row r="58" spans="32:38" x14ac:dyDescent="0.3">
      <c r="AF58" t="s">
        <v>24</v>
      </c>
      <c r="AG58">
        <v>8.31</v>
      </c>
      <c r="AH58">
        <v>8.56</v>
      </c>
      <c r="AI58">
        <v>9.01</v>
      </c>
      <c r="AJ58">
        <v>9.1999999999999993</v>
      </c>
      <c r="AK58">
        <v>9.14</v>
      </c>
      <c r="AL58">
        <v>8.74</v>
      </c>
    </row>
    <row r="59" spans="32:38" x14ac:dyDescent="0.3">
      <c r="AF59" t="s">
        <v>23</v>
      </c>
      <c r="AG59">
        <f>AG60*4*16/AG36</f>
        <v>0.10586743515850144</v>
      </c>
      <c r="AH59">
        <f t="shared" ref="AH59:AL59" si="9">AH60*4*16/AH36</f>
        <v>9.1627653783342408E-2</v>
      </c>
      <c r="AI59">
        <f t="shared" si="9"/>
        <v>7.4265085095410008E-2</v>
      </c>
      <c r="AJ59">
        <f t="shared" si="9"/>
        <v>6.6163645271925517E-2</v>
      </c>
      <c r="AK59">
        <f t="shared" si="9"/>
        <v>6.450769948670089E-2</v>
      </c>
      <c r="AL59">
        <f t="shared" si="9"/>
        <v>7.0414253897550114E-2</v>
      </c>
    </row>
    <row r="60" spans="32:38" x14ac:dyDescent="0.3">
      <c r="AF60" t="s">
        <v>25</v>
      </c>
      <c r="AG60">
        <v>2.87</v>
      </c>
      <c r="AH60">
        <v>2.63</v>
      </c>
      <c r="AI60">
        <v>2.25</v>
      </c>
      <c r="AJ60">
        <v>2.11</v>
      </c>
      <c r="AK60">
        <v>2.16</v>
      </c>
      <c r="AL60">
        <v>2.4700000000000002</v>
      </c>
    </row>
    <row r="61" spans="32:38" x14ac:dyDescent="0.3">
      <c r="AF61" t="s">
        <v>26</v>
      </c>
      <c r="AG61">
        <f>AG58*(AG59/3)/AG60</f>
        <v>0.10217867435158502</v>
      </c>
      <c r="AH61">
        <f t="shared" ref="AH61:AL61" si="10">AH58*(AH59/3)/AH60</f>
        <v>9.940845581564145E-2</v>
      </c>
      <c r="AI61">
        <f t="shared" si="10"/>
        <v>9.9130135808836173E-2</v>
      </c>
      <c r="AJ61">
        <f t="shared" si="10"/>
        <v>9.6162012085578938E-2</v>
      </c>
      <c r="AK61">
        <f t="shared" si="10"/>
        <v>9.0987711930315754E-2</v>
      </c>
      <c r="AL61">
        <f t="shared" si="10"/>
        <v>8.3052709725315518E-2</v>
      </c>
    </row>
    <row r="66" spans="35:41" x14ac:dyDescent="0.3">
      <c r="AI66" t="s">
        <v>20</v>
      </c>
      <c r="AJ66">
        <v>8.31</v>
      </c>
      <c r="AK66">
        <v>8.56</v>
      </c>
      <c r="AL66">
        <v>9.01</v>
      </c>
      <c r="AM66">
        <v>9.1999999999999993</v>
      </c>
      <c r="AN66">
        <v>9.14</v>
      </c>
      <c r="AO66">
        <v>8.74</v>
      </c>
    </row>
    <row r="67" spans="35:41" x14ac:dyDescent="0.3">
      <c r="AI67" t="s">
        <v>27</v>
      </c>
      <c r="AJ67">
        <v>0.10217867435158502</v>
      </c>
      <c r="AK67">
        <v>9.940845581564145E-2</v>
      </c>
      <c r="AL67">
        <v>9.9130135808836173E-2</v>
      </c>
      <c r="AM67">
        <v>9.6162012085578938E-2</v>
      </c>
      <c r="AN67">
        <v>9.0987711930315754E-2</v>
      </c>
      <c r="AO67">
        <v>8.3052709725315518E-2</v>
      </c>
    </row>
    <row r="68" spans="35:41" x14ac:dyDescent="0.3">
      <c r="AI68" t="s">
        <v>22</v>
      </c>
      <c r="AJ68">
        <v>2.87</v>
      </c>
      <c r="AK68">
        <v>2.63</v>
      </c>
      <c r="AL68">
        <v>2.25</v>
      </c>
      <c r="AM68">
        <v>2.11</v>
      </c>
      <c r="AN68">
        <v>2.16</v>
      </c>
      <c r="AO68">
        <v>2.4700000000000002</v>
      </c>
    </row>
    <row r="69" spans="35:41" x14ac:dyDescent="0.3">
      <c r="AI69" t="s">
        <v>28</v>
      </c>
      <c r="AJ69">
        <v>0.10586743515850144</v>
      </c>
      <c r="AK69">
        <v>9.1627653783342408E-2</v>
      </c>
      <c r="AL69">
        <v>7.4265085095410008E-2</v>
      </c>
      <c r="AM69">
        <v>6.6163645271925517E-2</v>
      </c>
      <c r="AN69">
        <v>6.450769948670089E-2</v>
      </c>
      <c r="AO69">
        <v>7.0414253897550114E-2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2018-10-25T17:31:12Z</dcterms:modified>
</cp:coreProperties>
</file>